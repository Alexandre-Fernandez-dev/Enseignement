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éances" sheetId="1" state="visible" r:id="rId3"/>
    <sheet name="Chapit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<sst xmlns="http://schemas.openxmlformats.org/spreadsheetml/2006/main" count="237" uniqueCount="165">
  <si>
    <t xml:space="preserve">Semaine</t>
  </si>
  <si>
    <t xml:space="preserve">Cours en classe entière (3h/semaine) – progression décalée</t>
  </si>
  <si>
    <t xml:space="preserve">Jeudi 1h</t>
  </si>
  <si>
    <t xml:space="preserve">Vendredi 1ere heure</t>
  </si>
  <si>
    <t xml:space="preserve">Vendredi seconde heure</t>
  </si>
  <si>
    <t xml:space="preserve">Questions flashs </t>
  </si>
  <si>
    <t xml:space="preserve">Remarques</t>
  </si>
  <si>
    <t xml:space="preserve">Chapitre avant décalage</t>
  </si>
  <si>
    <t xml:space="preserve">Changement</t>
  </si>
  <si>
    <t xml:space="preserve">Notes du décalage</t>
  </si>
  <si>
    <t xml:space="preserve">Légende : texte bleu = séances planifiées et notes (à modifier) ; colonne K calculée ; lignes surlignées = chapitre modifié. Semaines passées recopiées de la capture.</t>
  </si>
  <si>
    <t xml:space="preserve">Ch1 – Généralités sur les fonctions</t>
  </si>
  <si>
    <t xml:space="preserve">Heure 1: Présentation.
Q flash fonctions secondes https://coopmaths.fr/alea/?uuid=5622b&amp;id=2F16-1&amp;alea=b2B7&amp;uuid=b92dc&amp;id=2F11-flash1&amp;alea=m6e5&amp;uuid=d85c2&amp;id=2F10-flash1&amp;alea=Rsj0&amp;uuid=966a6&amp;id=2F12-flash1&amp;alea=Ukem&amp;uuid=0e1c6&amp;id=2F12-flash2&amp;alea=yE9u&amp;uuid=6f13a&amp;id=2F15-flash1&amp;alea=eKXN
Exos 3, 4, 5
Cours définitions et notation
Exo : résolu 1
Heure 2:
Exo: exos 7, 8, 9
Cours Représentation graphique 1
Exo : 11, 25, 26</t>
  </si>
  <si>
    <t xml:space="preserve">Q flash : https://coopmaths.fr/alea/?uuid=0b020&amp;id=4C10-7&amp;n=2&amp;d=10&amp;s=true&amp;s2=5&amp;s3=10&amp;cd=1&amp;tip=0&amp;alea=BPIZ&amp;uuid=aa40c&amp;id=2A-C2-2&amp;n=1&amp;d=10&amp;qcm=0&amp;cd=1&amp;tip=0&amp;alea=aGMs&amp;uuid=106e7&amp;id=2A-C2-3&amp;n=1&amp;d=10&amp;qcm=0&amp;cd=1&amp;tip=0&amp;alea=zON1&amp;uuid=83a52&amp;id=1A-C15-9&amp;alea=nlQU
</t>
  </si>
  <si>
    <t xml:space="preserve">1 calcul num</t>
  </si>
  <si>
    <t xml:space="preserve">1 calc litt</t>
  </si>
  <si>
    <t xml:space="preserve">1 autre</t>
  </si>
  <si>
    <t xml:space="preserve">Q flash : https://coopmaths.fr/alea/?uuid=c96ba&amp;id=1A-C01-7&amp;alea=r5hF&amp;uuid=106e7&amp;id=1A-C09-3&amp;n=1&amp;d=10&amp;qcm=0&amp;cd=1&amp;tip=0&amp;alea=3VSL&amp;uuid=9b4e6&amp;id=2A-R1-1&amp;n=1&amp;d=10&amp;qcm=0&amp;cd=1&amp;tip=0&amp;alea=NjNi&amp;v=diaporama&amp;ds=10000100
Correction 8,9,11.
 Exo 25(1,2) et 26
Heure 2
 Cours : Représentation graphique 2, équation graphique
Exos : (19), 28, 29, 
devoir 30
Exo 27?</t>
  </si>
  <si>
    <t xml:space="preserve">Q flash : https://coopmaths.fr/alea/?uuid=fd5c6&amp;id=can2N30-01&amp;alea=cxep&amp;uuid=106e7&amp;id=1A-C09-3&amp;n=1&amp;d=10&amp;qcm=0&amp;cd=1&amp;tip=0&amp;alea=q26b&amp;uuid=2ab24&amp;id=1A-C15-2&amp;n=1&amp;d=10&amp;s=false&amp;s2=false&amp;s4=false&amp;cd=1&amp;tip=0&amp;alea=FMH7
((Correction exo 41 (skip 49)))
Variations
Fiche exo, puis si besoin 42, 44</t>
  </si>
  <si>
    <t xml:space="preserve">Relatifs</t>
  </si>
  <si>
    <t xml:space="preserve">Distributivité (simple et double)</t>
  </si>
  <si>
    <t xml:space="preserve">Proportions/Pourcentages (appliquer un taux d'évolution)</t>
  </si>
  <si>
    <t xml:space="preserve">Proportions prépare tableaux croisés</t>
  </si>
  <si>
    <t xml:space="preserve">Ch2 – Tableaux croisés et probabilités conditionnelles</t>
  </si>
  <si>
    <t xml:space="preserve">Q flash : https://coopmaths.fr/alea/?uuid=0b020&amp;id=4C10-7&amp;n=1&amp;d=10&amp;s=2&amp;s2=1-4&amp;s3=10&amp;cd=1&amp;tip=0&amp;alea=AH8n&amp;uuid=60cc5&amp;id=2L11-3&amp;n=1&amp;d=10&amp;s=1-2-3-4-5-6-7&amp;cd=1&amp;tip=0&amp;alea=caZr&amp;uuid=c9efa&amp;id=2A-E3-1&amp;alea=EYxG
Inéquation graphiques
Exo 30, 49, 51</t>
  </si>
  <si>
    <t xml:space="preserve">Révisions 
DS court sur les fonctions </t>
  </si>
  <si>
    <t xml:space="preserve">Fiche exo variations</t>
  </si>
  <si>
    <t xml:space="preserve">q flash https://www.mathalea.fr/alea/?uuid=88281&amp;id=2N32-flash1&amp;alea=4VQm&amp;uuid=7f02a&amp;id=1A-C10-11&amp;alea=GGDf&amp;uuid=0f014&amp;id=can1S05&amp;alea=XOxy Activité 1 tableaux 
+ cours P1</t>
  </si>
  <si>
    <t xml:space="preserve">Q flash : https://www.mathalea.fr/alea/?uuid=6575c&amp;id=2N32-1&amp;n=1&amp;d=10&amp;s=4&amp;s2=true&amp;cd=0&amp;tip=0&amp;alea=6XJY&amp;uuid=cb6b3&amp;id=2L21-flash1&amp;alea=Q9HL&amp;uuid=0f014&amp;id=can1S05&amp;alea=ZM9c
Cours P1
Exos 1,3
Devoir 4, 5</t>
  </si>
  <si>
    <t xml:space="preserve">Q flash : https://www.mathalea.fr/alea/?uuid=22c4c&amp;id=2N31-flash5&amp;alea=rd17&amp;uuid=c1123&amp;id=2L21-flash3&amp;alea=rd17&amp;uuid=0f014&amp;id=can1S05&amp;alea=KzRl
Corrections
Exo 2, 6, 8
DM EXO 7</t>
  </si>
  <si>
    <t xml:space="preserve">Fractions</t>
  </si>
  <si>
    <t xml:space="preserve">Equations 1er degré</t>
  </si>
  <si>
    <t xml:space="preserve">Python for</t>
  </si>
  <si>
    <t xml:space="preserve">Equation de deg 1 prépare fct affines</t>
  </si>
  <si>
    <t xml:space="preserve">bloquage</t>
  </si>
  <si>
    <t xml:space="preserve">Cours PROBAS
Def 1, Def 2, def 3
Exemple dé coloré
Def Cardinal
Union intersection, évènement contraire
Exo 9.1</t>
  </si>
  <si>
    <t xml:space="preserve">
Q flash : https://www.mathalea.fr/alea/?uuid=f1208&amp;id=2N30-flash3&amp;alea=QGSR&amp;uuid=7959f&amp;id=2L21-3&amp;n=1&amp;d=10&amp;s=1&amp;cd=1&amp;tip=0&amp;alea=L3gy&amp;uuid=0f014&amp;id=can1S1-05&amp;alea=gexV
Recuperer DM
Def proba conditionnelle, prop 2 et 3 
Exo 9.2, Exo 11</t>
  </si>
  <si>
    <t xml:space="preserve">correction 2.b act, et ex 9 de la fiche. Q flash : https://www.mathalea.fr/alea/?uuid=247cc&amp;id=1A-C02-1&amp;alea=hpt8&amp;uuid=202d9&amp;id=1A-C10-11&amp;alea=zRgp&amp;uuid=0f014&amp;id=can1S1-05&amp;alea=dr2c.
PREVENIR CONTROLE + Flash puis utilisation de tableau
Exo 12, exo 10, exo 13</t>
  </si>
  <si>
    <t xml:space="preserve">https://coopmaths.fr/alea/?uuid=7f979&amp;id=1A-C01-1&amp;alea=05CE&amp;uuid=18d0d&amp;id=1A-C09-11&amp;alea=YmBI&amp;uuid=a2ac3&amp;id=2F32-1&amp;alea=msjX&amp;uuid=816b8&amp;id=BP2AutoP1&amp;alea=2IeG
Rendre DM
Correction 11, 12, 
Exercice 10 en groupe</t>
  </si>
  <si>
    <t xml:space="preserve">Exo 10</t>
  </si>
  <si>
    <t xml:space="preserve">Puissances</t>
  </si>
  <si>
    <t xml:space="preserve">Factorisation (facteur commun)</t>
  </si>
  <si>
    <t xml:space="preserve">Résolution graph éq/inéq</t>
  </si>
  <si>
    <t xml:space="preserve">Ch3 – Fonctions affines</t>
  </si>
  <si>
    <t xml:space="preserve">Le ch. 2 s'est prolongé : correction de l'activité, exercices.</t>
  </si>
  <si>
    <t xml:space="preserve">Ch2 – Tableaux croisés et probabilités conditionnelles (jeudi : évaluation) ; Ch3 – Fonctions affines (vendredi)</t>
  </si>
  <si>
    <t xml:space="preserve">EVAL form Tableaux + flash</t>
  </si>
  <si>
    <t xml:space="preserve">https://coopmaths.fr/alea/?uuid=7f979&amp;id=1A-C01-1&amp;alea=vMZA&amp;uuid=18d0d&amp;id=1A-C09-11&amp;alea=RB3q&amp;uuid=9d293&amp;id=can2F3-03&amp;alea=Vosg
Début du chapitre sur les fonctions affines
Partire 1, exercices 1 et 2.</t>
  </si>
  <si>
    <t xml:space="preserve">https://coopmaths.fr/alea/?uuid=7f979&amp;id=1A-C01-1&amp;alea=9wyF&amp;uuid=18d0d&amp;id=1A-C09-11&amp;alea=pwyJ&amp;uuid=61271&amp;id=can2F3-05&amp;alea=dms0
Cours 2 : représentation graphique (représenter)
Exo 3
Cours 2/ représentation graphique (lire)
Exo 4</t>
  </si>
  <si>
    <t xml:space="preserve">Jeudi : évaluation formative sur les tableaux (ch. 2). Vendredi 16/10 : début du ch. 3.</t>
  </si>
  <si>
    <t xml:space="preserve">Vacances</t>
  </si>
  <si>
    <t xml:space="preserve">Ch3 S1 – Reprise en douceur : rappel (ex. 2), puis page 3 du cours depuis le début (droite y = ax + b, méthode « Tracer une droite »). Ex. 3.
Devoir : finir l'ex. 3.</t>
  </si>
  <si>
    <t xml:space="preserve">Ch3 S2 – Cours fin partie 2 : lire l'équation réduite d'une droite (p. 4). Ex. 4 (d1 à d4).</t>
  </si>
  <si>
    <t xml:space="preserve">Ch3 S3 – Cours partie 3 : coefficient directeur, fonction affine à partir de deux points (p. 4-5). Ex. 5, ex. 6 (1, 2).
Devoir : ex. 6 (3), ex. 9.</t>
  </si>
  <si>
    <t xml:space="preserve">Comparaison nombre</t>
  </si>
  <si>
    <t xml:space="preserve">Signe fonctions affines</t>
  </si>
  <si>
    <t xml:space="preserve">Tableaux de sgn graphiquement</t>
  </si>
  <si>
    <t xml:space="preserve">Faire du tableur, faire du Python</t>
  </si>
  <si>
    <t xml:space="preserve">Ch4 – Généralités sur les suites</t>
  </si>
  <si>
    <t xml:space="preserve">Reprise du ch. 3 en douceur (page 3 reprise) : les chapitres suivants sont décalés d'une semaine.</t>
  </si>
  <si>
    <t xml:space="preserve">Ch3 – Fonctions affines (jeudi) ; Ch4 – Généralités sur les suites (vendredi)</t>
  </si>
  <si>
    <t xml:space="preserve">Ch3 S4 – Cours parties 4 et 5 : sens de variation, tableau de signes (p. 5-6) ; bilan. Correction ex. 9, ex. 7, ex. 8.
Devoir maison : ex. 10 et 11.</t>
  </si>
  <si>
    <t xml:space="preserve">Ch4 S1 – Activité 1 : la crèche (u(n) = 20 + 6n, budget ×1,1, nuage de points). Bilan à trous. Correction des ex. 10-11 du ch. 3 en début d'heure.</t>
  </si>
  <si>
    <t xml:space="preserve">Ch4 S2 – Cours 1.1-1.2 : définition, notation u_n, formule explicite. Ex. 1, ex. 2 (1, 2).
Devoir : ex. 2 (3, 4), ex. 3 (1 à 3).</t>
  </si>
  <si>
    <t xml:space="preserve">Signe fct affines prépare fcts du second degré</t>
  </si>
  <si>
    <t xml:space="preserve">Le ch. 4 passe à 8 séances : synthèse (ex. 17) en devoir.</t>
  </si>
  <si>
    <t xml:space="preserve">Ch4 S3 – Cours 1.3-1.4 : relation de récurrence, comparer les deux modes. Ex. 4 (1, 2), ex. 5.
Devoir : ex. 4 (3, 4), ex. 6.</t>
  </si>
  <si>
    <t xml:space="preserve">Ch4 S4 – Cours 2 : représentation graphique. Ex. 8, ex. 9.
Devoir : ex. 10, ex. 7.</t>
  </si>
  <si>
    <t xml:space="preserve">Ch4 S5 – Cours 3 : modéliser. Ex. 11 (1 à 3), ex. 12 (1, 2).
Devoir : ex. 11 (4), ex. 12 (3).</t>
  </si>
  <si>
    <t xml:space="preserve">Racines carrées</t>
  </si>
  <si>
    <t xml:space="preserve">Equations produit nul</t>
  </si>
  <si>
    <t xml:space="preserve">Coeff multiplicateur/taux d'évolution (évolutions successives)</t>
  </si>
  <si>
    <t xml:space="preserve">Ch4 S6 – Cours 4 : sens de variation. Ex. 13, ex. 14 (1 à 4).
Devoir : ex. 14 (5, 6).</t>
  </si>
  <si>
    <t xml:space="preserve">Ch4 S7 – Cours 5 : tableur projeté (seuil) puis Python. Ex. 15, ex. 16 (1, 2).
Devoir : ex. 16 (3, 4), ex. 17 (synthèse).</t>
  </si>
  <si>
    <t xml:space="preserve">Ch4 S8 – Contrôle formatif (sujets A et B).</t>
  </si>
  <si>
    <t xml:space="preserve">Ch5 – Fonctions du second degré</t>
  </si>
  <si>
    <t xml:space="preserve">Contrôle formatif du ch. 4 en fin de semaine.</t>
  </si>
  <si>
    <t xml:space="preserve">Ch5 S1 – Activité 1 : le saut du dauphin, f(t) = a(t − t1)(t − t2).
Devoir : finir le développement de f(t).</t>
  </si>
  <si>
    <t xml:space="preserve">Ch5 S2 – Forme factorisée : racines, vérifier une racine, tableau de signes.
Devoir : une étude de signe.</t>
  </si>
  <si>
    <t xml:space="preserve">Ch5 S3 – Allure (GeoGebra : effet de a), axe au milieu des racines, sommet, variations.
Devoir : étude complète d'une parabole tournée vers le bas.</t>
  </si>
  <si>
    <t xml:space="preserve">Ordre de grandeur</t>
  </si>
  <si>
    <t xml:space="preserve">Développer (a+b)² et (a-b)² avec ou sans identités remarquables</t>
  </si>
  <si>
    <t xml:space="preserve">Probabilités</t>
  </si>
  <si>
    <t xml:space="preserve">Plus d'étude de fonctions de degré 3</t>
  </si>
  <si>
    <t xml:space="preserve">Ch5 S4 – Forme développée : développer, f(0) = c, axe en résolvant f(x) = c, sommet.
Devoir : développer et vérifier.</t>
  </si>
  <si>
    <t xml:space="preserve">Ch5 S5 – Paraboles ax² et ax² + c (GeoGebra : effet de c) ; associer parabole et expression.
Devoir : tracer une parabole ax² + c.</t>
  </si>
  <si>
    <t xml:space="preserve">Ch5 S6 – Factoriser connaissant une racine, puis étudier le signe.
Devoir : une factorisation.</t>
  </si>
  <si>
    <t xml:space="preserve">Ch5 S7 – Résolution graphique, balayage (table de la calculatrice), problème en contexte.
Devoir : finir le problème.</t>
  </si>
  <si>
    <t xml:space="preserve">Ch5 S8 – Synthèse.
Devoir : réviser le savoir-faire.</t>
  </si>
  <si>
    <t xml:space="preserve">Ch5 S9 – Contrôle formatif (sujets A et B).</t>
  </si>
  <si>
    <t xml:space="preserve">Conversions</t>
  </si>
  <si>
    <t xml:space="preserve">Suites</t>
  </si>
  <si>
    <t xml:space="preserve">Pourcentages/coeff multiplicateur</t>
  </si>
  <si>
    <t xml:space="preserve">ajout de l'indépendance et formule des probas totales</t>
  </si>
  <si>
    <t xml:space="preserve">Ch6 – Arbres de probabilités, épreuve de Bernoulli</t>
  </si>
  <si>
    <t xml:space="preserve">Suites prépare chap suivant tout comme coeff multiplicateur (suites géom)</t>
  </si>
  <si>
    <t xml:space="preserve">Stats 1 (moyenne, médiane, quartiles)</t>
  </si>
  <si>
    <t xml:space="preserve">Isoler variable</t>
  </si>
  <si>
    <t xml:space="preserve">Python while</t>
  </si>
  <si>
    <t xml:space="preserve">ajout forme explicite, faire du tableur, faire du Python</t>
  </si>
  <si>
    <t xml:space="preserve">Ch7 – Suites arithmétiques et géométriques</t>
  </si>
  <si>
    <t xml:space="preserve">Inéquations</t>
  </si>
  <si>
    <t xml:space="preserve">Equations de droite (lecture, calcul coeff)</t>
  </si>
  <si>
    <t xml:space="preserve">Equations de droites prépare tangente</t>
  </si>
  <si>
    <t xml:space="preserve">App num d'une formule</t>
  </si>
  <si>
    <t xml:space="preserve">Identités rem</t>
  </si>
  <si>
    <t xml:space="preserve">Stats 2 (Lire et exploiter un graphique : histo, diagramme barre et circulaire)</t>
  </si>
  <si>
    <t xml:space="preserve">Lien avec les sécantes (utiliser Géogébra)</t>
  </si>
  <si>
    <t xml:space="preserve">Ch8 – Dérivation locale, tangente, dérivées usuelles</t>
  </si>
  <si>
    <t xml:space="preserve">Ch. 7 à cheval sur les vacances d'hiver.</t>
  </si>
  <si>
    <t xml:space="preserve">Proportions</t>
  </si>
  <si>
    <t xml:space="preserve">Signe fonction 2nd degré</t>
  </si>
  <si>
    <t xml:space="preserve">Dérivation</t>
  </si>
  <si>
    <t xml:space="preserve">Dérivation et  signe fct degré 2 préparent chap suivant</t>
  </si>
  <si>
    <t xml:space="preserve">Ch9 – Variables aléatoires, loi de Bernoulli</t>
  </si>
  <si>
    <t xml:space="preserve">Evolutions</t>
  </si>
  <si>
    <t xml:space="preserve">Tableaux de variations graphiquement</t>
  </si>
  <si>
    <t xml:space="preserve">Ch10 – Applications de la dérivation</t>
  </si>
  <si>
    <t xml:space="preserve">Stats 3 (Diagramme en boite)</t>
  </si>
  <si>
    <t xml:space="preserve">Ch11 – Séries statistiques à deux variables</t>
  </si>
  <si>
    <t xml:space="preserve">Equations : x²=a et a/x=b</t>
  </si>
  <si>
    <t xml:space="preserve">Pourcentages</t>
  </si>
  <si>
    <t xml:space="preserve">Ch12 – Listes en Python (1 h)</t>
  </si>
  <si>
    <t xml:space="preserve">Ch12 – Listes en Python (1 h) ; Révisions – automatismes papier type bac</t>
  </si>
  <si>
    <t xml:space="preserve">Automatismes papiers type bac</t>
  </si>
  <si>
    <t xml:space="preserve">Révisions – automatismes papier type bac</t>
  </si>
  <si>
    <t xml:space="preserve">Révisions réduites de 3 à 2 semaines (+ 2 h cette semaine).</t>
  </si>
  <si>
    <t xml:space="preserve">Fin des cours</t>
  </si>
  <si>
    <t xml:space="preserve">Chapitres : périodes avant / après</t>
  </si>
  <si>
    <t xml:space="preserve">Dates = lundi de la première et de la dernière semaine. Décalage et nombre de semaines calculés par formules à partir de l'onglet Séances (une semaine partagée entre deux chapitres compte pour les deux).</t>
  </si>
  <si>
    <t xml:space="preserve">Code</t>
  </si>
  <si>
    <t xml:space="preserve">Chapitre</t>
  </si>
  <si>
    <t xml:space="preserve">Début avant</t>
  </si>
  <si>
    <t xml:space="preserve">Fin avant</t>
  </si>
  <si>
    <t xml:space="preserve">Début après</t>
  </si>
  <si>
    <t xml:space="preserve">Fin après</t>
  </si>
  <si>
    <t xml:space="preserve">Décalage du début (semaines de calendrier, vacances comprises)</t>
  </si>
  <si>
    <t xml:space="preserve">Semaines avant</t>
  </si>
  <si>
    <t xml:space="preserve">Semaines après</t>
  </si>
  <si>
    <t xml:space="preserve">Ch1</t>
  </si>
  <si>
    <t xml:space="preserve">Généralités sur les fonctions</t>
  </si>
  <si>
    <t xml:space="preserve">Ch2</t>
  </si>
  <si>
    <t xml:space="preserve">Tableaux croisés et probabilités conditionnelles</t>
  </si>
  <si>
    <t xml:space="preserve">Ch3</t>
  </si>
  <si>
    <t xml:space="preserve">Fonctions affines</t>
  </si>
  <si>
    <t xml:space="preserve">Ch4</t>
  </si>
  <si>
    <t xml:space="preserve">Généralités sur les suites</t>
  </si>
  <si>
    <t xml:space="preserve">Ch5</t>
  </si>
  <si>
    <t xml:space="preserve">Fonctions du second degré</t>
  </si>
  <si>
    <t xml:space="preserve">Ch6</t>
  </si>
  <si>
    <t xml:space="preserve">Arbres de probabilités, épreuve de Bernoulli</t>
  </si>
  <si>
    <t xml:space="preserve">Ch7</t>
  </si>
  <si>
    <t xml:space="preserve">Suites arithmétiques et géométriques</t>
  </si>
  <si>
    <t xml:space="preserve">Ch8</t>
  </si>
  <si>
    <t xml:space="preserve">Dérivation locale, tangente, dérivées usuelles</t>
  </si>
  <si>
    <t xml:space="preserve">Ch9</t>
  </si>
  <si>
    <t xml:space="preserve">Variables aléatoires, loi de Bernoulli</t>
  </si>
  <si>
    <t xml:space="preserve">Ch10</t>
  </si>
  <si>
    <t xml:space="preserve">Applications de la dérivation</t>
  </si>
  <si>
    <t xml:space="preserve">Ch11</t>
  </si>
  <si>
    <t xml:space="preserve">Séries statistiques à deux variables</t>
  </si>
  <si>
    <t xml:space="preserve">Ch12</t>
  </si>
  <si>
    <t xml:space="preserve">Listes en Python (1 h)</t>
  </si>
  <si>
    <t xml:space="preserve">Révisions</t>
  </si>
  <si>
    <t xml:space="preserve">automatismes papier type bac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</si>
</sst>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/mm\/yyyy"/>
    <numFmt numFmtId="166" formatCode="dd/mm/yyyy"/>
    <numFmt numFmtId="167" formatCode="\+0;\-0;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0"/>
      <color theme="1"/>
      <name val="Aptos Narrow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ptos Narrow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ptos Narrow"/>
      <family val="0"/>
      <charset val="1"/>
    </font>
    <font>
      <sz val="10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83CAEB"/>
        <bgColor rgb="FF95DCF7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CCCCFF"/>
      </patternFill>
    </fill>
    <fill>
      <patternFill patternType="solid">
        <fgColor rgb="FF92D050"/>
        <bgColor rgb="FFBFBFBF"/>
      </patternFill>
    </fill>
    <fill>
      <patternFill patternType="solid">
        <fgColor rgb="FF95DCF7"/>
        <bgColor rgb="FF83CAEB"/>
      </patternFill>
    </fill>
    <fill>
      <patternFill patternType="solid">
        <fgColor rgb="FFF1A983"/>
        <bgColor rgb="FFFFCC99"/>
      </patternFill>
    </fill>
    <fill>
      <patternFill patternType="solid">
        <fgColor rgb="FF1F4E78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8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2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3CAEB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1A983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opmaths.fr/alea/?uuid=5622b&amp;id=2F16-1&amp;alea=b2B7&amp;uuid=b92dc&amp;id=2F11-flash1&amp;alea=m6e5&amp;uuid=d85c2&amp;id=2F10-flash1&amp;alea=Rsj0&amp;uuid=966a6&amp;id=2F12-flash1&amp;alea=Ukem&amp;uuid=0e1c6&amp;id=2F12-flash2&amp;alea=yE9u&amp;uuid=6f13a&amp;id=2F15-flash1&amp;alea=eKXN" TargetMode="External"/><Relationship Id="rId2" Type="http://schemas.openxmlformats.org/officeDocument/2006/relationships/hyperlink" Target="https://coopmaths.fr/alea/?uuid=0b020&amp;id=4C10-7&amp;n=2&amp;d=10&amp;s=true&amp;s2=5&amp;s3=10&amp;cd=1&amp;tip=0&amp;alea=BPIZ&amp;uuid=aa40c&amp;id=2A-C2-2&amp;n=1&amp;d=10&amp;qcm=0&amp;cd=1&amp;tip=0&amp;alea=aGMs&amp;uuid=106e7&amp;id=2A-C2-3&amp;n=1&amp;d=10&amp;qcm=0&amp;cd=1&amp;tip=0&amp;alea=zON1&amp;uuid=83a52&amp;id=1A-C15-9&amp;alea=nlQU" TargetMode="External"/><Relationship Id="rId3" Type="http://schemas.openxmlformats.org/officeDocument/2006/relationships/hyperlink" Target="https://www.mathalea.fr/alea/?uuid=88281&amp;id=2N32-flash1&amp;alea=4VQm&amp;uuid=7f02a&amp;id=1A-C10-11&amp;alea=GGDf&amp;uuid=0f014&amp;id=can1S05&amp;alea=XOxy" TargetMode="External"/><Relationship Id="rId4" Type="http://schemas.openxmlformats.org/officeDocument/2006/relationships/hyperlink" Target="https://www.mathalea.fr/alea/?uuid=6575c&amp;id=2N32-1&amp;n=1&amp;d=10&amp;s=4&amp;s2=true&amp;cd=0&amp;tip=0&amp;alea=6XJY&amp;uuid=cb6b3&amp;id=2L21-flash1&amp;alea=Q9HL&amp;uuid=0f014&amp;id=can1S05&amp;alea=ZM9c" TargetMode="External"/><Relationship Id="rId5" Type="http://schemas.openxmlformats.org/officeDocument/2006/relationships/hyperlink" Target="https://www.mathalea.fr/alea/?uuid=22c4c&amp;id=2N31-flash5&amp;alea=rd17&amp;uuid=c1123&amp;id=2L21-flash3&amp;alea=rd17&amp;uuid=0f014&amp;id=can1S05&amp;alea=KzRl" TargetMode="External"/><Relationship Id="rId6" Type="http://schemas.openxmlformats.org/officeDocument/2006/relationships/hyperlink" Target="https://www.mathalea.fr/alea/?uuid=f1208&amp;id=2N30-flash3&amp;alea=QGSR&amp;uuid=7959f&amp;id=2L21-3&amp;n=1&amp;d=10&amp;s=1&amp;cd=1&amp;tip=0&amp;alea=L3gy&amp;uuid=0f014&amp;id=can1S1-05&amp;alea=gexV" TargetMode="External"/><Relationship Id="rId7" Type="http://schemas.openxmlformats.org/officeDocument/2006/relationships/hyperlink" Target="https://www.mathalea.fr/alea/?uuid=247cc&amp;id=1A-C02-1&amp;alea=hpt8&amp;uuid=202d9&amp;id=1A-C10-11&amp;alea=zRgp&amp;uuid=0f014&amp;id=can1S1-05&amp;alea=dr2c" TargetMode="External"/><Relationship Id="rId8" Type="http://schemas.openxmlformats.org/officeDocument/2006/relationships/hyperlink" Target="https://coopmaths.fr/alea/?uuid=7f979&amp;id=1A-C01-1&amp;alea=05CE&amp;uuid=18d0d&amp;id=1A-C09-11&amp;alea=YmBI&amp;uuid=a2ac3&amp;id=2F32-1&amp;alea=msjX&amp;uuid=816b8&amp;id=BP2AutoP1&amp;alea=2IeG" TargetMode="External"/><Relationship Id="rId9" Type="http://schemas.openxmlformats.org/officeDocument/2006/relationships/hyperlink" Target="https://coopmaths.fr/alea/?uuid=7f979&amp;id=1A-C01-1&amp;alea=vMZA&amp;uuid=18d0d&amp;id=1A-C09-11&amp;alea=RB3q&amp;uuid=9d293&amp;id=can2F3-03&amp;alea=Vosg" TargetMode="External"/><Relationship Id="rId10" Type="http://schemas.openxmlformats.org/officeDocument/2006/relationships/hyperlink" Target="https://coopmaths.fr/alea/?uuid=7f979&amp;id=1A-C01-1&amp;alea=9wyF&amp;uuid=18d0d&amp;id=1A-C09-11&amp;alea=pwyJ&amp;uuid=61271&amp;id=can2F3-05&amp;alea=dms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40"/>
    <col collapsed="false" customWidth="true" hidden="false" outlineLevel="0" max="5" min="3" style="0" width="42"/>
    <col collapsed="false" customWidth="true" hidden="false" outlineLevel="0" max="6" min="6" style="0" width="20.63"/>
    <col collapsed="false" customWidth="true" hidden="false" outlineLevel="0" max="9" min="9" style="0" width="30.38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40"/>
  </cols>
  <sheetData>
    <row r="1" customFormat="false" ht="14.25" hidden="false" customHeight="tru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/>
      <c r="I1" s="5" t="s">
        <v>6</v>
      </c>
      <c r="J1" s="6" t="s">
        <v>7</v>
      </c>
      <c r="K1" s="6" t="s">
        <v>8</v>
      </c>
      <c r="L1" s="6" t="s">
        <v>9</v>
      </c>
      <c r="M1" s="7" t="s">
        <v>10</v>
      </c>
    </row>
    <row r="2" customFormat="false" ht="14.25" hidden="false" customHeight="true" outlineLevel="0" collapsed="false">
      <c r="A2" s="8" t="n">
        <f aca="false">DATE(2026,8,31)</f>
        <v>46265</v>
      </c>
      <c r="B2" s="9" t="s">
        <v>11</v>
      </c>
      <c r="C2" s="10" t="s">
        <v>12</v>
      </c>
      <c r="D2" s="11" t="s">
        <v>13</v>
      </c>
      <c r="E2" s="12"/>
      <c r="F2" s="13" t="s">
        <v>14</v>
      </c>
      <c r="G2" s="13" t="s">
        <v>15</v>
      </c>
      <c r="H2" s="13" t="s">
        <v>16</v>
      </c>
      <c r="I2" s="14"/>
      <c r="J2" s="15" t="s">
        <v>11</v>
      </c>
      <c r="K2" s="16" t="str">
        <f aca="false">IF(B2=J2,"","modifié")</f>
        <v/>
      </c>
      <c r="L2" s="17"/>
    </row>
    <row r="3" customFormat="false" ht="25.5" hidden="false" customHeight="true" outlineLevel="0" collapsed="false">
      <c r="A3" s="18" t="n">
        <f aca="false">A2+7</f>
        <v>46272</v>
      </c>
      <c r="B3" s="19" t="s">
        <v>11</v>
      </c>
      <c r="C3" s="12" t="s">
        <v>17</v>
      </c>
      <c r="D3" s="12"/>
      <c r="E3" s="12" t="s">
        <v>18</v>
      </c>
      <c r="F3" s="20" t="s">
        <v>19</v>
      </c>
      <c r="G3" s="20" t="s">
        <v>20</v>
      </c>
      <c r="H3" s="20" t="s">
        <v>21</v>
      </c>
      <c r="I3" s="14" t="s">
        <v>22</v>
      </c>
      <c r="J3" s="15" t="s">
        <v>11</v>
      </c>
      <c r="K3" s="16" t="str">
        <f aca="false">IF(B3=J3,"","modifié")</f>
        <v/>
      </c>
      <c r="L3" s="17"/>
    </row>
    <row r="4" customFormat="false" ht="14.25" hidden="false" customHeight="true" outlineLevel="0" collapsed="false">
      <c r="A4" s="18" t="n">
        <f aca="false">A3+7</f>
        <v>46279</v>
      </c>
      <c r="B4" s="21" t="s">
        <v>23</v>
      </c>
      <c r="C4" s="22" t="s">
        <v>24</v>
      </c>
      <c r="D4" s="23" t="s">
        <v>25</v>
      </c>
      <c r="E4" s="22" t="s">
        <v>26</v>
      </c>
      <c r="F4" s="20"/>
      <c r="G4" s="20"/>
      <c r="H4" s="20"/>
      <c r="I4" s="14"/>
      <c r="J4" s="15" t="s">
        <v>23</v>
      </c>
      <c r="K4" s="16" t="str">
        <f aca="false">IF(B4=J4,"","modifié")</f>
        <v/>
      </c>
      <c r="L4" s="17"/>
    </row>
    <row r="5" customFormat="false" ht="14.25" hidden="false" customHeight="true" outlineLevel="0" collapsed="false">
      <c r="A5" s="18" t="n">
        <f aca="false">A4+7</f>
        <v>46286</v>
      </c>
      <c r="B5" s="24" t="s">
        <v>23</v>
      </c>
      <c r="C5" s="25" t="s">
        <v>27</v>
      </c>
      <c r="D5" s="25" t="s">
        <v>28</v>
      </c>
      <c r="E5" s="25" t="s">
        <v>29</v>
      </c>
      <c r="F5" s="20" t="s">
        <v>30</v>
      </c>
      <c r="G5" s="20" t="s">
        <v>31</v>
      </c>
      <c r="H5" s="20" t="s">
        <v>32</v>
      </c>
      <c r="I5" s="14" t="s">
        <v>33</v>
      </c>
      <c r="J5" s="15" t="s">
        <v>23</v>
      </c>
      <c r="K5" s="16" t="str">
        <f aca="false">IF(B5=J5,"","modifié")</f>
        <v/>
      </c>
      <c r="L5" s="17"/>
    </row>
    <row r="6" customFormat="false" ht="14.25" hidden="false" customHeight="true" outlineLevel="0" collapsed="false">
      <c r="A6" s="18" t="n">
        <f aca="false">A5+7</f>
        <v>46293</v>
      </c>
      <c r="B6" s="24" t="s">
        <v>23</v>
      </c>
      <c r="C6" s="26" t="s">
        <v>34</v>
      </c>
      <c r="D6" s="27" t="s">
        <v>35</v>
      </c>
      <c r="E6" s="25" t="s">
        <v>36</v>
      </c>
      <c r="F6" s="20"/>
      <c r="G6" s="20"/>
      <c r="H6" s="20"/>
      <c r="I6" s="14"/>
      <c r="J6" s="15" t="s">
        <v>23</v>
      </c>
      <c r="K6" s="16" t="str">
        <f aca="false">IF(B6=J6,"","modifié")</f>
        <v/>
      </c>
      <c r="L6" s="17"/>
    </row>
    <row r="7" customFormat="false" ht="14.25" hidden="false" customHeight="true" outlineLevel="0" collapsed="false">
      <c r="A7" s="18" t="n">
        <f aca="false">A6+7</f>
        <v>46300</v>
      </c>
      <c r="B7" s="21" t="s">
        <v>23</v>
      </c>
      <c r="C7" s="25" t="s">
        <v>37</v>
      </c>
      <c r="D7" s="28" t="s">
        <v>38</v>
      </c>
      <c r="E7" s="29" t="s">
        <v>39</v>
      </c>
      <c r="F7" s="20" t="s">
        <v>40</v>
      </c>
      <c r="G7" s="20" t="s">
        <v>41</v>
      </c>
      <c r="H7" s="20" t="s">
        <v>42</v>
      </c>
      <c r="I7" s="14"/>
      <c r="J7" s="15" t="s">
        <v>43</v>
      </c>
      <c r="K7" s="16" t="str">
        <f aca="false">IF(B7=J7,"","modifié")</f>
        <v>modifié</v>
      </c>
      <c r="L7" s="17" t="s">
        <v>44</v>
      </c>
    </row>
    <row r="8" customFormat="false" ht="14.25" hidden="false" customHeight="true" outlineLevel="0" collapsed="false">
      <c r="A8" s="18" t="n">
        <f aca="false">A7+7</f>
        <v>46307</v>
      </c>
      <c r="B8" s="24" t="s">
        <v>45</v>
      </c>
      <c r="C8" s="29" t="s">
        <v>46</v>
      </c>
      <c r="D8" s="28" t="s">
        <v>47</v>
      </c>
      <c r="E8" s="28" t="s">
        <v>48</v>
      </c>
      <c r="F8" s="20"/>
      <c r="G8" s="20"/>
      <c r="H8" s="20"/>
      <c r="I8" s="14"/>
      <c r="J8" s="15" t="s">
        <v>43</v>
      </c>
      <c r="K8" s="16" t="str">
        <f aca="false">IF(B8=J8,"","modifié")</f>
        <v>modifié</v>
      </c>
      <c r="L8" s="17" t="s">
        <v>49</v>
      </c>
    </row>
    <row r="9" customFormat="false" ht="14.25" hidden="false" customHeight="true" outlineLevel="0" collapsed="false">
      <c r="A9" s="18" t="n">
        <f aca="false">A8+7</f>
        <v>46314</v>
      </c>
      <c r="B9" s="30" t="s">
        <v>50</v>
      </c>
      <c r="C9" s="31"/>
      <c r="D9" s="31"/>
      <c r="E9" s="31"/>
      <c r="F9" s="32"/>
      <c r="G9" s="32"/>
      <c r="H9" s="32"/>
      <c r="I9" s="14"/>
      <c r="J9" s="15" t="s">
        <v>50</v>
      </c>
      <c r="K9" s="16" t="str">
        <f aca="false">IF(B9=J9,"","modifié")</f>
        <v/>
      </c>
      <c r="L9" s="17"/>
    </row>
    <row r="10" customFormat="false" ht="14.25" hidden="false" customHeight="true" outlineLevel="0" collapsed="false">
      <c r="A10" s="18" t="n">
        <f aca="false">A9+7</f>
        <v>46321</v>
      </c>
      <c r="B10" s="30" t="s">
        <v>50</v>
      </c>
      <c r="C10" s="33"/>
      <c r="D10" s="33"/>
      <c r="E10" s="33"/>
      <c r="F10" s="32"/>
      <c r="G10" s="32"/>
      <c r="H10" s="32"/>
      <c r="I10" s="14"/>
      <c r="J10" s="15" t="s">
        <v>50</v>
      </c>
      <c r="K10" s="16" t="str">
        <f aca="false">IF(B10=J10,"","modifié")</f>
        <v/>
      </c>
      <c r="L10" s="17"/>
    </row>
    <row r="11" customFormat="false" ht="78" hidden="false" customHeight="true" outlineLevel="0" collapsed="false">
      <c r="A11" s="18" t="n">
        <f aca="false">A10+7</f>
        <v>46328</v>
      </c>
      <c r="B11" s="34" t="s">
        <v>43</v>
      </c>
      <c r="C11" s="35" t="s">
        <v>51</v>
      </c>
      <c r="D11" s="35" t="s">
        <v>52</v>
      </c>
      <c r="E11" s="35" t="s">
        <v>53</v>
      </c>
      <c r="F11" s="20" t="s">
        <v>54</v>
      </c>
      <c r="G11" s="20" t="s">
        <v>55</v>
      </c>
      <c r="H11" s="20" t="s">
        <v>56</v>
      </c>
      <c r="I11" s="14" t="s">
        <v>57</v>
      </c>
      <c r="J11" s="15" t="s">
        <v>58</v>
      </c>
      <c r="K11" s="16" t="str">
        <f aca="false">IF(B11=J11,"","modifié")</f>
        <v>modifié</v>
      </c>
      <c r="L11" s="17" t="s">
        <v>59</v>
      </c>
    </row>
    <row r="12" customFormat="false" ht="78" hidden="false" customHeight="true" outlineLevel="0" collapsed="false">
      <c r="A12" s="18" t="n">
        <f aca="false">A11+7</f>
        <v>46335</v>
      </c>
      <c r="B12" s="19" t="s">
        <v>60</v>
      </c>
      <c r="C12" s="35" t="s">
        <v>61</v>
      </c>
      <c r="D12" s="36" t="s">
        <v>62</v>
      </c>
      <c r="E12" s="36" t="s">
        <v>63</v>
      </c>
      <c r="F12" s="20"/>
      <c r="G12" s="20"/>
      <c r="H12" s="20"/>
      <c r="I12" s="14" t="s">
        <v>64</v>
      </c>
      <c r="J12" s="15" t="s">
        <v>58</v>
      </c>
      <c r="K12" s="16" t="str">
        <f aca="false">IF(B12=J12,"","modifié")</f>
        <v>modifié</v>
      </c>
      <c r="L12" s="17" t="s">
        <v>65</v>
      </c>
    </row>
    <row r="13" customFormat="false" ht="78" hidden="false" customHeight="true" outlineLevel="0" collapsed="false">
      <c r="A13" s="18" t="n">
        <f aca="false">A12+7</f>
        <v>46342</v>
      </c>
      <c r="B13" s="37" t="s">
        <v>58</v>
      </c>
      <c r="C13" s="36" t="s">
        <v>66</v>
      </c>
      <c r="D13" s="36" t="s">
        <v>67</v>
      </c>
      <c r="E13" s="36" t="s">
        <v>68</v>
      </c>
      <c r="F13" s="20" t="s">
        <v>69</v>
      </c>
      <c r="G13" s="20" t="s">
        <v>70</v>
      </c>
      <c r="H13" s="20" t="s">
        <v>71</v>
      </c>
      <c r="I13" s="14"/>
      <c r="J13" s="15" t="s">
        <v>58</v>
      </c>
      <c r="K13" s="16" t="str">
        <f aca="false">IF(B13=J13,"","modifié")</f>
        <v/>
      </c>
      <c r="L13" s="17"/>
    </row>
    <row r="14" customFormat="false" ht="78" hidden="false" customHeight="true" outlineLevel="0" collapsed="false">
      <c r="A14" s="18" t="n">
        <f aca="false">A13+7</f>
        <v>46349</v>
      </c>
      <c r="B14" s="38" t="s">
        <v>58</v>
      </c>
      <c r="C14" s="36" t="s">
        <v>72</v>
      </c>
      <c r="D14" s="36" t="s">
        <v>73</v>
      </c>
      <c r="E14" s="36" t="s">
        <v>74</v>
      </c>
      <c r="F14" s="20"/>
      <c r="G14" s="20"/>
      <c r="H14" s="20"/>
      <c r="I14" s="14"/>
      <c r="J14" s="15" t="s">
        <v>75</v>
      </c>
      <c r="K14" s="16" t="str">
        <f aca="false">IF(B14=J14,"","modifié")</f>
        <v>modifié</v>
      </c>
      <c r="L14" s="17" t="s">
        <v>76</v>
      </c>
    </row>
    <row r="15" customFormat="false" ht="78" hidden="false" customHeight="true" outlineLevel="0" collapsed="false">
      <c r="A15" s="18" t="n">
        <f aca="false">A14+7</f>
        <v>46356</v>
      </c>
      <c r="B15" s="39" t="s">
        <v>75</v>
      </c>
      <c r="C15" s="40" t="s">
        <v>77</v>
      </c>
      <c r="D15" s="40" t="s">
        <v>78</v>
      </c>
      <c r="E15" s="40" t="s">
        <v>79</v>
      </c>
      <c r="F15" s="20" t="s">
        <v>80</v>
      </c>
      <c r="G15" s="20" t="s">
        <v>81</v>
      </c>
      <c r="H15" s="20" t="s">
        <v>82</v>
      </c>
      <c r="I15" s="14" t="s">
        <v>83</v>
      </c>
      <c r="J15" s="15" t="s">
        <v>75</v>
      </c>
      <c r="K15" s="16" t="str">
        <f aca="false">IF(B15=J15,"","modifié")</f>
        <v/>
      </c>
      <c r="L15" s="17"/>
    </row>
    <row r="16" customFormat="false" ht="78" hidden="false" customHeight="true" outlineLevel="0" collapsed="false">
      <c r="A16" s="18" t="n">
        <f aca="false">A15+7</f>
        <v>46363</v>
      </c>
      <c r="B16" s="39" t="s">
        <v>75</v>
      </c>
      <c r="C16" s="40" t="s">
        <v>84</v>
      </c>
      <c r="D16" s="40" t="s">
        <v>85</v>
      </c>
      <c r="E16" s="40" t="s">
        <v>86</v>
      </c>
      <c r="F16" s="20"/>
      <c r="G16" s="20"/>
      <c r="H16" s="20"/>
      <c r="I16" s="14"/>
      <c r="J16" s="15" t="s">
        <v>75</v>
      </c>
      <c r="K16" s="16" t="str">
        <f aca="false">IF(B16=J16,"","modifié")</f>
        <v/>
      </c>
      <c r="L16" s="17"/>
    </row>
    <row r="17" customFormat="false" ht="78" hidden="false" customHeight="true" outlineLevel="0" collapsed="false">
      <c r="A17" s="18" t="n">
        <f aca="false">A16+7</f>
        <v>46370</v>
      </c>
      <c r="B17" s="41" t="s">
        <v>75</v>
      </c>
      <c r="C17" s="42" t="s">
        <v>87</v>
      </c>
      <c r="D17" s="42" t="s">
        <v>88</v>
      </c>
      <c r="E17" s="42" t="s">
        <v>89</v>
      </c>
      <c r="F17" s="20" t="s">
        <v>90</v>
      </c>
      <c r="G17" s="20" t="s">
        <v>91</v>
      </c>
      <c r="H17" s="20" t="s">
        <v>92</v>
      </c>
      <c r="I17" s="14" t="s">
        <v>93</v>
      </c>
      <c r="J17" s="15" t="s">
        <v>94</v>
      </c>
      <c r="K17" s="16" t="str">
        <f aca="false">IF(B17=J17,"","modifié")</f>
        <v>modifié</v>
      </c>
      <c r="L17" s="17"/>
    </row>
    <row r="18" customFormat="false" ht="14.25" hidden="false" customHeight="true" outlineLevel="0" collapsed="false">
      <c r="A18" s="18" t="n">
        <f aca="false">A17+7</f>
        <v>46377</v>
      </c>
      <c r="B18" s="30" t="s">
        <v>50</v>
      </c>
      <c r="C18" s="31"/>
      <c r="D18" s="31"/>
      <c r="E18" s="31"/>
      <c r="F18" s="32"/>
      <c r="G18" s="32"/>
      <c r="H18" s="32"/>
      <c r="I18" s="14"/>
      <c r="J18" s="15" t="s">
        <v>50</v>
      </c>
      <c r="K18" s="16" t="str">
        <f aca="false">IF(B18=J18,"","modifié")</f>
        <v/>
      </c>
      <c r="L18" s="17"/>
    </row>
    <row r="19" customFormat="false" ht="14.25" hidden="false" customHeight="true" outlineLevel="0" collapsed="false">
      <c r="A19" s="18" t="n">
        <f aca="false">A18+7</f>
        <v>46384</v>
      </c>
      <c r="B19" s="30" t="s">
        <v>50</v>
      </c>
      <c r="C19" s="33"/>
      <c r="D19" s="33"/>
      <c r="E19" s="33"/>
      <c r="F19" s="32"/>
      <c r="G19" s="32"/>
      <c r="H19" s="32"/>
      <c r="I19" s="14"/>
      <c r="J19" s="15" t="s">
        <v>50</v>
      </c>
      <c r="K19" s="16" t="str">
        <f aca="false">IF(B19=J19,"","modifié")</f>
        <v/>
      </c>
      <c r="L19" s="17"/>
    </row>
    <row r="20" customFormat="false" ht="14.25" hidden="false" customHeight="true" outlineLevel="0" collapsed="false">
      <c r="A20" s="18" t="n">
        <f aca="false">A19+7</f>
        <v>46391</v>
      </c>
      <c r="B20" s="21" t="s">
        <v>94</v>
      </c>
      <c r="C20" s="43"/>
      <c r="D20" s="43"/>
      <c r="E20" s="43"/>
      <c r="F20" s="20" t="s">
        <v>90</v>
      </c>
      <c r="G20" s="20" t="s">
        <v>91</v>
      </c>
      <c r="H20" s="20" t="s">
        <v>92</v>
      </c>
      <c r="I20" s="14" t="s">
        <v>95</v>
      </c>
      <c r="J20" s="15" t="s">
        <v>94</v>
      </c>
      <c r="K20" s="16" t="str">
        <f aca="false">IF(B20=J20,"","modifié")</f>
        <v/>
      </c>
      <c r="L20" s="17"/>
    </row>
    <row r="21" customFormat="false" ht="14.25" hidden="false" customHeight="true" outlineLevel="0" collapsed="false">
      <c r="A21" s="18" t="n">
        <f aca="false">A20+7</f>
        <v>46398</v>
      </c>
      <c r="B21" s="24" t="s">
        <v>94</v>
      </c>
      <c r="C21" s="43"/>
      <c r="D21" s="43"/>
      <c r="E21" s="43"/>
      <c r="F21" s="20" t="s">
        <v>96</v>
      </c>
      <c r="G21" s="20" t="s">
        <v>97</v>
      </c>
      <c r="H21" s="20" t="s">
        <v>98</v>
      </c>
      <c r="I21" s="14"/>
      <c r="J21" s="15" t="s">
        <v>94</v>
      </c>
      <c r="K21" s="16" t="str">
        <f aca="false">IF(B21=J21,"","modifié")</f>
        <v/>
      </c>
      <c r="L21" s="17"/>
    </row>
    <row r="22" customFormat="false" ht="14.25" hidden="false" customHeight="true" outlineLevel="0" collapsed="false">
      <c r="A22" s="18" t="n">
        <f aca="false">A21+7</f>
        <v>46405</v>
      </c>
      <c r="B22" s="44" t="s">
        <v>94</v>
      </c>
      <c r="C22" s="45"/>
      <c r="D22" s="45"/>
      <c r="E22" s="45"/>
      <c r="F22" s="20"/>
      <c r="G22" s="20"/>
      <c r="H22" s="20"/>
      <c r="I22" s="46" t="s">
        <v>99</v>
      </c>
      <c r="J22" s="15" t="s">
        <v>100</v>
      </c>
      <c r="K22" s="16" t="str">
        <f aca="false">IF(B22=J22,"","modifié")</f>
        <v>modifié</v>
      </c>
      <c r="L22" s="17"/>
    </row>
    <row r="23" customFormat="false" ht="14.25" hidden="false" customHeight="true" outlineLevel="0" collapsed="false">
      <c r="A23" s="18" t="n">
        <f aca="false">A22+7</f>
        <v>46412</v>
      </c>
      <c r="B23" s="37" t="s">
        <v>100</v>
      </c>
      <c r="C23" s="47"/>
      <c r="D23" s="47"/>
      <c r="E23" s="47"/>
      <c r="F23" s="20" t="s">
        <v>30</v>
      </c>
      <c r="G23" s="20" t="s">
        <v>101</v>
      </c>
      <c r="H23" s="20" t="s">
        <v>102</v>
      </c>
      <c r="I23" s="14" t="s">
        <v>103</v>
      </c>
      <c r="J23" s="15" t="s">
        <v>100</v>
      </c>
      <c r="K23" s="16" t="str">
        <f aca="false">IF(B23=J23,"","modifié")</f>
        <v/>
      </c>
      <c r="L23" s="17"/>
    </row>
    <row r="24" customFormat="false" ht="14.25" hidden="false" customHeight="true" outlineLevel="0" collapsed="false">
      <c r="A24" s="18" t="n">
        <f aca="false">A23+7</f>
        <v>46419</v>
      </c>
      <c r="B24" s="37" t="s">
        <v>100</v>
      </c>
      <c r="C24" s="47"/>
      <c r="D24" s="47"/>
      <c r="E24" s="47"/>
      <c r="F24" s="20"/>
      <c r="G24" s="20"/>
      <c r="H24" s="20"/>
      <c r="I24" s="14"/>
      <c r="J24" s="15" t="s">
        <v>100</v>
      </c>
      <c r="K24" s="16" t="str">
        <f aca="false">IF(B24=J24,"","modifié")</f>
        <v/>
      </c>
      <c r="L24" s="17"/>
    </row>
    <row r="25" customFormat="false" ht="14.25" hidden="false" customHeight="true" outlineLevel="0" collapsed="false">
      <c r="A25" s="18" t="n">
        <f aca="false">A24+7</f>
        <v>46426</v>
      </c>
      <c r="B25" s="30" t="s">
        <v>50</v>
      </c>
      <c r="C25" s="33"/>
      <c r="D25" s="33"/>
      <c r="E25" s="33"/>
      <c r="F25" s="32"/>
      <c r="G25" s="32"/>
      <c r="H25" s="32"/>
      <c r="I25" s="14"/>
      <c r="J25" s="15" t="s">
        <v>50</v>
      </c>
      <c r="K25" s="16" t="str">
        <f aca="false">IF(B25=J25,"","modifié")</f>
        <v/>
      </c>
      <c r="L25" s="17"/>
    </row>
    <row r="26" customFormat="false" ht="14.25" hidden="false" customHeight="true" outlineLevel="0" collapsed="false">
      <c r="A26" s="18" t="n">
        <f aca="false">A25+7</f>
        <v>46433</v>
      </c>
      <c r="B26" s="30" t="s">
        <v>50</v>
      </c>
      <c r="C26" s="33"/>
      <c r="D26" s="33"/>
      <c r="E26" s="33"/>
      <c r="F26" s="32"/>
      <c r="G26" s="32"/>
      <c r="H26" s="32"/>
      <c r="I26" s="14"/>
      <c r="J26" s="15" t="s">
        <v>50</v>
      </c>
      <c r="K26" s="16" t="str">
        <f aca="false">IF(B26=J26,"","modifié")</f>
        <v/>
      </c>
      <c r="L26" s="17"/>
    </row>
    <row r="27" customFormat="false" ht="25.5" hidden="false" customHeight="true" outlineLevel="0" collapsed="false">
      <c r="A27" s="18" t="n">
        <f aca="false">A26+7</f>
        <v>46440</v>
      </c>
      <c r="B27" s="48" t="s">
        <v>100</v>
      </c>
      <c r="C27" s="47"/>
      <c r="D27" s="47"/>
      <c r="E27" s="47"/>
      <c r="F27" s="20" t="s">
        <v>104</v>
      </c>
      <c r="G27" s="20" t="s">
        <v>105</v>
      </c>
      <c r="H27" s="20" t="s">
        <v>106</v>
      </c>
      <c r="I27" s="14" t="s">
        <v>107</v>
      </c>
      <c r="J27" s="15" t="s">
        <v>108</v>
      </c>
      <c r="K27" s="16" t="str">
        <f aca="false">IF(B27=J27,"","modifié")</f>
        <v>modifié</v>
      </c>
      <c r="L27" s="17" t="s">
        <v>109</v>
      </c>
    </row>
    <row r="28" customFormat="false" ht="29.25" hidden="false" customHeight="true" outlineLevel="0" collapsed="false">
      <c r="A28" s="18" t="n">
        <f aca="false">A27+7</f>
        <v>46447</v>
      </c>
      <c r="B28" s="39" t="s">
        <v>108</v>
      </c>
      <c r="C28" s="49"/>
      <c r="D28" s="49"/>
      <c r="E28" s="49"/>
      <c r="F28" s="20"/>
      <c r="G28" s="20"/>
      <c r="H28" s="20"/>
      <c r="I28" s="14"/>
      <c r="J28" s="15" t="s">
        <v>108</v>
      </c>
      <c r="K28" s="16" t="str">
        <f aca="false">IF(B28=J28,"","modifié")</f>
        <v/>
      </c>
      <c r="L28" s="17"/>
    </row>
    <row r="29" customFormat="false" ht="23.25" hidden="false" customHeight="true" outlineLevel="0" collapsed="false">
      <c r="A29" s="18" t="n">
        <f aca="false">A28+7</f>
        <v>46454</v>
      </c>
      <c r="B29" s="39" t="s">
        <v>108</v>
      </c>
      <c r="C29" s="49"/>
      <c r="D29" s="49"/>
      <c r="E29" s="49"/>
      <c r="F29" s="20" t="s">
        <v>110</v>
      </c>
      <c r="G29" s="20" t="s">
        <v>111</v>
      </c>
      <c r="H29" s="20" t="s">
        <v>112</v>
      </c>
      <c r="I29" s="14" t="s">
        <v>113</v>
      </c>
      <c r="J29" s="15" t="s">
        <v>108</v>
      </c>
      <c r="K29" s="16" t="str">
        <f aca="false">IF(B29=J29,"","modifié")</f>
        <v/>
      </c>
      <c r="L29" s="17"/>
    </row>
    <row r="30" customFormat="false" ht="14.25" hidden="false" customHeight="true" outlineLevel="0" collapsed="false">
      <c r="A30" s="18" t="n">
        <f aca="false">A29+7</f>
        <v>46461</v>
      </c>
      <c r="B30" s="50" t="s">
        <v>108</v>
      </c>
      <c r="C30" s="51"/>
      <c r="D30" s="51"/>
      <c r="E30" s="51"/>
      <c r="F30" s="20"/>
      <c r="G30" s="20"/>
      <c r="H30" s="20"/>
      <c r="I30" s="14"/>
      <c r="J30" s="15" t="s">
        <v>114</v>
      </c>
      <c r="K30" s="16" t="str">
        <f aca="false">IF(B30=J30,"","modifié")</f>
        <v>modifié</v>
      </c>
      <c r="L30" s="17"/>
    </row>
    <row r="31" customFormat="false" ht="14.25" hidden="false" customHeight="true" outlineLevel="0" collapsed="false">
      <c r="A31" s="18" t="n">
        <f aca="false">A30+7</f>
        <v>46468</v>
      </c>
      <c r="B31" s="24" t="s">
        <v>114</v>
      </c>
      <c r="C31" s="52"/>
      <c r="D31" s="52"/>
      <c r="E31" s="52"/>
      <c r="F31" s="20" t="s">
        <v>115</v>
      </c>
      <c r="G31" s="20" t="s">
        <v>70</v>
      </c>
      <c r="H31" s="20" t="s">
        <v>116</v>
      </c>
      <c r="I31" s="14"/>
      <c r="J31" s="15" t="s">
        <v>114</v>
      </c>
      <c r="K31" s="16" t="str">
        <f aca="false">IF(B31=J31,"","modifié")</f>
        <v/>
      </c>
      <c r="L31" s="17"/>
    </row>
    <row r="32" customFormat="false" ht="14.25" hidden="false" customHeight="true" outlineLevel="0" collapsed="false">
      <c r="A32" s="18" t="n">
        <f aca="false">A31+7</f>
        <v>46475</v>
      </c>
      <c r="B32" s="53" t="s">
        <v>114</v>
      </c>
      <c r="C32" s="52"/>
      <c r="D32" s="52"/>
      <c r="E32" s="52"/>
      <c r="F32" s="20"/>
      <c r="G32" s="20"/>
      <c r="H32" s="20"/>
      <c r="I32" s="14"/>
      <c r="J32" s="15" t="s">
        <v>117</v>
      </c>
      <c r="K32" s="16" t="str">
        <f aca="false">IF(B32=J32,"","modifié")</f>
        <v>modifié</v>
      </c>
      <c r="L32" s="17"/>
    </row>
    <row r="33" customFormat="false" ht="14.25" hidden="false" customHeight="true" outlineLevel="0" collapsed="false">
      <c r="A33" s="18" t="n">
        <f aca="false">A32+7</f>
        <v>46482</v>
      </c>
      <c r="B33" s="30" t="s">
        <v>50</v>
      </c>
      <c r="C33" s="33"/>
      <c r="D33" s="33"/>
      <c r="E33" s="33"/>
      <c r="F33" s="32"/>
      <c r="G33" s="32"/>
      <c r="H33" s="32"/>
      <c r="I33" s="14"/>
      <c r="J33" s="15" t="s">
        <v>50</v>
      </c>
      <c r="K33" s="16" t="str">
        <f aca="false">IF(B33=J33,"","modifié")</f>
        <v/>
      </c>
      <c r="L33" s="17"/>
    </row>
    <row r="34" customFormat="false" ht="14.25" hidden="false" customHeight="true" outlineLevel="0" collapsed="false">
      <c r="A34" s="18" t="n">
        <f aca="false">A33+7</f>
        <v>46489</v>
      </c>
      <c r="B34" s="30" t="s">
        <v>50</v>
      </c>
      <c r="C34" s="33"/>
      <c r="D34" s="33"/>
      <c r="E34" s="33"/>
      <c r="F34" s="32"/>
      <c r="G34" s="32"/>
      <c r="H34" s="32"/>
      <c r="I34" s="14"/>
      <c r="J34" s="15" t="s">
        <v>50</v>
      </c>
      <c r="K34" s="16" t="str">
        <f aca="false">IF(B34=J34,"","modifié")</f>
        <v/>
      </c>
      <c r="L34" s="17"/>
    </row>
    <row r="35" customFormat="false" ht="15" hidden="false" customHeight="true" outlineLevel="0" collapsed="false">
      <c r="A35" s="18" t="n">
        <f aca="false">A34+7</f>
        <v>46496</v>
      </c>
      <c r="B35" s="50" t="s">
        <v>117</v>
      </c>
      <c r="C35" s="51"/>
      <c r="D35" s="51"/>
      <c r="E35" s="51"/>
      <c r="F35" s="20" t="s">
        <v>40</v>
      </c>
      <c r="G35" s="20" t="s">
        <v>91</v>
      </c>
      <c r="H35" s="20" t="s">
        <v>118</v>
      </c>
      <c r="I35" s="14"/>
      <c r="J35" s="15" t="s">
        <v>117</v>
      </c>
      <c r="K35" s="16" t="str">
        <f aca="false">IF(B35=J35,"","modifié")</f>
        <v/>
      </c>
      <c r="L35" s="17"/>
    </row>
    <row r="36" customFormat="false" ht="14.25" hidden="false" customHeight="true" outlineLevel="0" collapsed="false">
      <c r="A36" s="18" t="n">
        <f aca="false">A35+7</f>
        <v>46503</v>
      </c>
      <c r="B36" s="50" t="s">
        <v>117</v>
      </c>
      <c r="C36" s="54"/>
      <c r="D36" s="54"/>
      <c r="E36" s="54"/>
      <c r="F36" s="20"/>
      <c r="G36" s="20"/>
      <c r="H36" s="20"/>
      <c r="I36" s="14"/>
      <c r="J36" s="15" t="s">
        <v>119</v>
      </c>
      <c r="K36" s="16" t="str">
        <f aca="false">IF(B36=J36,"","modifié")</f>
        <v>modifié</v>
      </c>
      <c r="L36" s="17"/>
    </row>
    <row r="37" customFormat="false" ht="14.25" hidden="false" customHeight="true" outlineLevel="0" collapsed="false">
      <c r="A37" s="18" t="n">
        <f aca="false">A36+7</f>
        <v>46510</v>
      </c>
      <c r="B37" s="24" t="s">
        <v>119</v>
      </c>
      <c r="C37" s="55"/>
      <c r="D37" s="55"/>
      <c r="E37" s="55"/>
      <c r="F37" s="20" t="s">
        <v>30</v>
      </c>
      <c r="G37" s="20" t="s">
        <v>120</v>
      </c>
      <c r="H37" s="20" t="s">
        <v>121</v>
      </c>
      <c r="I37" s="14"/>
      <c r="J37" s="15" t="s">
        <v>119</v>
      </c>
      <c r="K37" s="16" t="str">
        <f aca="false">IF(B37=J37,"","modifié")</f>
        <v/>
      </c>
      <c r="L37" s="17"/>
    </row>
    <row r="38" customFormat="false" ht="14.25" hidden="false" customHeight="true" outlineLevel="0" collapsed="false">
      <c r="A38" s="18" t="n">
        <f aca="false">A37+7</f>
        <v>46517</v>
      </c>
      <c r="B38" s="56" t="s">
        <v>119</v>
      </c>
      <c r="C38" s="57"/>
      <c r="D38" s="57"/>
      <c r="E38" s="57"/>
      <c r="F38" s="20"/>
      <c r="G38" s="20"/>
      <c r="H38" s="20"/>
      <c r="I38" s="14"/>
      <c r="J38" s="15" t="s">
        <v>122</v>
      </c>
      <c r="K38" s="16" t="str">
        <f aca="false">IF(B38=J38,"","modifié")</f>
        <v>modifié</v>
      </c>
      <c r="L38" s="17"/>
    </row>
    <row r="39" customFormat="false" ht="25.5" hidden="false" customHeight="true" outlineLevel="0" collapsed="false">
      <c r="A39" s="18" t="n">
        <f aca="false">A38+7</f>
        <v>46524</v>
      </c>
      <c r="B39" s="58" t="s">
        <v>123</v>
      </c>
      <c r="C39" s="59"/>
      <c r="D39" s="59"/>
      <c r="E39" s="59"/>
      <c r="F39" s="20" t="s">
        <v>124</v>
      </c>
      <c r="G39" s="20"/>
      <c r="H39" s="20"/>
      <c r="I39" s="14"/>
      <c r="J39" s="15" t="s">
        <v>125</v>
      </c>
      <c r="K39" s="16" t="str">
        <f aca="false">IF(B39=J39,"","modifié")</f>
        <v>modifié</v>
      </c>
      <c r="L39" s="17" t="s">
        <v>126</v>
      </c>
    </row>
    <row r="40" customFormat="false" ht="14.25" hidden="false" customHeight="true" outlineLevel="0" collapsed="false">
      <c r="A40" s="18" t="n">
        <f aca="false">A39+7</f>
        <v>46531</v>
      </c>
      <c r="B40" s="15" t="s">
        <v>125</v>
      </c>
      <c r="C40" s="60"/>
      <c r="D40" s="60"/>
      <c r="E40" s="60"/>
      <c r="F40" s="20"/>
      <c r="G40" s="20"/>
      <c r="H40" s="20"/>
      <c r="I40" s="14"/>
      <c r="J40" s="15" t="s">
        <v>125</v>
      </c>
      <c r="K40" s="16" t="str">
        <f aca="false">IF(B40=J40,"","modifié")</f>
        <v/>
      </c>
      <c r="L40" s="17"/>
    </row>
    <row r="41" customFormat="false" ht="14.25" hidden="false" customHeight="true" outlineLevel="0" collapsed="false">
      <c r="A41" s="18" t="n">
        <f aca="false">A40+7</f>
        <v>46538</v>
      </c>
      <c r="B41" s="15" t="s">
        <v>125</v>
      </c>
      <c r="C41" s="60"/>
      <c r="D41" s="60"/>
      <c r="E41" s="60"/>
      <c r="F41" s="20"/>
      <c r="G41" s="20"/>
      <c r="H41" s="20"/>
      <c r="I41" s="14"/>
      <c r="J41" s="15" t="s">
        <v>125</v>
      </c>
      <c r="K41" s="16" t="str">
        <f aca="false">IF(B41=J41,"","modifié")</f>
        <v/>
      </c>
      <c r="L41" s="17"/>
    </row>
    <row r="42" customFormat="false" ht="14.25" hidden="false" customHeight="true" outlineLevel="0" collapsed="false">
      <c r="A42" s="18" t="n">
        <f aca="false">A41+7</f>
        <v>46545</v>
      </c>
      <c r="B42" s="30" t="s">
        <v>127</v>
      </c>
      <c r="C42" s="61"/>
      <c r="D42" s="61"/>
      <c r="E42" s="61"/>
      <c r="F42" s="62"/>
      <c r="G42" s="62"/>
      <c r="H42" s="62"/>
      <c r="I42" s="14"/>
      <c r="J42" s="15" t="s">
        <v>127</v>
      </c>
      <c r="K42" s="16" t="str">
        <f aca="false">IF(B42=J42,"","modifié")</f>
        <v/>
      </c>
      <c r="L42" s="17"/>
    </row>
  </sheetData>
  <mergeCells count="41">
    <mergeCell ref="F1:H1"/>
    <mergeCell ref="F3:F4"/>
    <mergeCell ref="G3:G4"/>
    <mergeCell ref="H3:H4"/>
    <mergeCell ref="F5:F6"/>
    <mergeCell ref="G5:G6"/>
    <mergeCell ref="H5:H6"/>
    <mergeCell ref="F7:F8"/>
    <mergeCell ref="G7:G8"/>
    <mergeCell ref="H7:H8"/>
    <mergeCell ref="F11:F12"/>
    <mergeCell ref="G11:G12"/>
    <mergeCell ref="H11:H12"/>
    <mergeCell ref="F13:F14"/>
    <mergeCell ref="G13:G14"/>
    <mergeCell ref="H13:H14"/>
    <mergeCell ref="F15:F16"/>
    <mergeCell ref="G15:G16"/>
    <mergeCell ref="H15:H16"/>
    <mergeCell ref="F21:F22"/>
    <mergeCell ref="G21:G22"/>
    <mergeCell ref="H21:H22"/>
    <mergeCell ref="F23:F24"/>
    <mergeCell ref="G23:G24"/>
    <mergeCell ref="H23:H24"/>
    <mergeCell ref="F27:F28"/>
    <mergeCell ref="G27:G28"/>
    <mergeCell ref="H27:H28"/>
    <mergeCell ref="F29:F30"/>
    <mergeCell ref="G29:G30"/>
    <mergeCell ref="H29:H30"/>
    <mergeCell ref="F31:F32"/>
    <mergeCell ref="G31:G32"/>
    <mergeCell ref="H31:H32"/>
    <mergeCell ref="F35:F36"/>
    <mergeCell ref="G35:G36"/>
    <mergeCell ref="H35:H36"/>
    <mergeCell ref="F37:F38"/>
    <mergeCell ref="G37:G38"/>
    <mergeCell ref="H37:H38"/>
    <mergeCell ref="F39:H41"/>
  </mergeCells>
  <conditionalFormatting sqref="J2:L42">
    <cfRule type="expression" priority="2" aboveAverage="0" equalAverage="0" bottom="0" percent="0" rank="0" text="" dxfId="0">
      <formula>$K2="modifié"</formula>
    </cfRule>
  </conditionalFormatting>
  <hyperlinks>
    <hyperlink ref="C2" r:id="rId1" display="Heure 1: Présentation.&#10;Q flash fonctions secondes https://coopmaths.fr/alea/?uuid=5622b&amp;id=2F16-1&amp;alea=b2B7&amp;uuid=b92dc&amp;id=2F11-flash1&amp;alea=m6e5&amp;uuid=d85c2&amp;id=2F10-flash1&amp;alea=Rsj0&amp;uuid=966a6&amp;id=2F12-flash1&amp;alea=Ukem&amp;uuid=0e1c6&amp;id=2F12-flash2&amp;alea=yE9u&amp;uuid=6f13a&amp;id=2F15-flash1&amp;alea=eKXN&#10;Exos 3, 4, 5&#10;Cours définitions et notation&#10;Exo : résolu 1&#10;Heure 2:&#10;Exo: exos 7, 8, 9&#10;Cours Représentation graphique 1&#10;Exo : 11, 25, 26"/>
    <hyperlink ref="D2" r:id="rId2" display="Q flash : https://coopmaths.fr/alea/?uuid=0b020&amp;id=4C10-7&amp;n=2&amp;d=10&amp;s=true&amp;s2=5&amp;s3=10&amp;cd=1&amp;tip=0&amp;alea=BPIZ&amp;uuid=aa40c&amp;id=2A-C2-2&amp;n=1&amp;d=10&amp;qcm=0&amp;cd=1&amp;tip=0&amp;alea=aGMs&amp;uuid=106e7&amp;id=2A-C2-3&amp;n=1&amp;d=10&amp;qcm=0&amp;cd=1&amp;tip=0&amp;alea=zON1&amp;uuid=83a52&amp;id=1A-C15-9&amp;alea=nlQU&#10;&#10;"/>
    <hyperlink ref="C5" r:id="rId3" display="q flash https://www.mathalea.fr/alea/?uuid=88281&amp;id=2N32-flash1&amp;alea=4VQm&amp;uuid=7f02a&amp;id=1A-C10-11&amp;alea=GGDf&amp;uuid=0f014&amp;id=can1S05&amp;alea=XOxy Activité 1 tableaux &#10;+ cours P1"/>
    <hyperlink ref="D5" r:id="rId4" display="Q flash : https://www.mathalea.fr/alea/?uuid=6575c&amp;id=2N32-1&amp;n=1&amp;d=10&amp;s=4&amp;s2=true&amp;cd=0&amp;tip=0&amp;alea=6XJY&amp;uuid=cb6b3&amp;id=2L21-flash1&amp;alea=Q9HL&amp;uuid=0f014&amp;id=can1S05&amp;alea=ZM9c&#10;Cours P1&#10;Exos 1,3&#10;Devoir 4, 5"/>
    <hyperlink ref="E5" r:id="rId5" display="Q flash : https://www.mathalea.fr/alea/?uuid=22c4c&amp;id=2N31-flash5&amp;alea=rd17&amp;uuid=c1123&amp;id=2L21-flash3&amp;alea=rd17&amp;uuid=0f014&amp;id=can1S05&amp;alea=KzRl&#10;&#10;Corrections&#10;Exo 2, 6, 8&#10;DM EXO 7"/>
    <hyperlink ref="E6" r:id="rId6" display="&#10;Q flash : https://www.mathalea.fr/alea/?uuid=f1208&amp;id=2N30-flash3&amp;alea=QGSR&amp;uuid=7959f&amp;id=2L21-3&amp;n=1&amp;d=10&amp;s=1&amp;cd=1&amp;tip=0&amp;alea=L3gy&amp;uuid=0f014&amp;id=can1S1-05&amp;alea=gexV&#10;&#10;Recuperer DM&#10;Def proba conditionnelle, prop 2 et 3 &#10;Exo 9.2, Exo 11"/>
    <hyperlink ref="C7" r:id="rId7" display="correction 2.b act, et ex 9 de la fiche. Q flash : https://www.mathalea.fr/alea/?uuid=247cc&amp;id=1A-C02-1&amp;alea=hpt8&amp;uuid=202d9&amp;id=1A-C10-11&amp;alea=zRgp&amp;uuid=0f014&amp;id=can1S1-05&amp;alea=dr2c.&#10;&#10;PREVENIR CONTROLE + Flash puis utilisation de tableau&#10;Exo 12, exo 10, exo 13"/>
    <hyperlink ref="D7" r:id="rId8" display="https://coopmaths.fr/alea/?uuid=7f979&amp;id=1A-C01-1&amp;alea=05CE&amp;uuid=18d0d&amp;id=1A-C09-11&amp;alea=YmBI&amp;uuid=a2ac3&amp;id=2F32-1&amp;alea=msjX&amp;uuid=816b8&amp;id=BP2AutoP1&amp;alea=2IeG&#10;Rendre DM&#10;Correction 11, 12, &#10;Exercice 10 en groupe"/>
    <hyperlink ref="D8" r:id="rId9" display="https://coopmaths.fr/alea/?uuid=7f979&amp;id=1A-C01-1&amp;alea=vMZA&amp;uuid=18d0d&amp;id=1A-C09-11&amp;alea=RB3q&amp;uuid=9d293&amp;id=can2F3-03&amp;alea=Vosg&#10;&#10;Début du chapitre sur les fonctions affines&#10;Partire 1, exercices 1 et 2."/>
    <hyperlink ref="E8" r:id="rId10" display="https://coopmaths.fr/alea/?uuid=7f979&amp;id=1A-C01-1&amp;alea=9wyF&amp;uuid=18d0d&amp;id=1A-C09-11&amp;alea=pwyJ&amp;uuid=61271&amp;id=can2F3-05&amp;alea=dms0&#10;Cours 2 : représentation graphique (représenter)&#10;Exo 3&#10;Cours 2/ représentation graphique (lire)&#10;Exo 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6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9" min="8" style="0" width="11"/>
  </cols>
  <sheetData>
    <row r="1" customFormat="false" ht="16.15" hidden="false" customHeight="false" outlineLevel="0" collapsed="false">
      <c r="A1" s="63" t="s">
        <v>128</v>
      </c>
    </row>
    <row r="2" customFormat="false" ht="30" hidden="false" customHeight="true" outlineLevel="0" collapsed="false">
      <c r="A2" s="64" t="s">
        <v>129</v>
      </c>
      <c r="B2" s="64"/>
      <c r="C2" s="64"/>
      <c r="D2" s="64"/>
      <c r="E2" s="64"/>
      <c r="F2" s="64"/>
      <c r="G2" s="64"/>
      <c r="H2" s="64"/>
      <c r="I2" s="64"/>
    </row>
    <row r="4" customFormat="false" ht="64.9" hidden="false" customHeight="false" outlineLevel="0" collapsed="false">
      <c r="A4" s="65" t="s">
        <v>130</v>
      </c>
      <c r="B4" s="65" t="s">
        <v>131</v>
      </c>
      <c r="C4" s="65" t="s">
        <v>132</v>
      </c>
      <c r="D4" s="65" t="s">
        <v>133</v>
      </c>
      <c r="E4" s="65" t="s">
        <v>134</v>
      </c>
      <c r="F4" s="65" t="s">
        <v>135</v>
      </c>
      <c r="G4" s="65" t="s">
        <v>136</v>
      </c>
      <c r="H4" s="65" t="s">
        <v>137</v>
      </c>
      <c r="I4" s="65" t="s">
        <v>138</v>
      </c>
    </row>
    <row r="5" customFormat="false" ht="15" hidden="false" customHeight="false" outlineLevel="0" collapsed="false">
      <c r="A5" s="66" t="s">
        <v>139</v>
      </c>
      <c r="B5" s="66" t="s">
        <v>140</v>
      </c>
      <c r="C5" s="67" t="n">
        <v>46265</v>
      </c>
      <c r="D5" s="67" t="n">
        <v>46272</v>
      </c>
      <c r="E5" s="68" t="n">
        <v>46265</v>
      </c>
      <c r="F5" s="68" t="n">
        <v>46272</v>
      </c>
      <c r="G5" s="69" t="n">
        <f aca="false">(E5-C5)/7</f>
        <v>0</v>
      </c>
      <c r="H5" s="66" t="n">
        <f aca="false">COUNTIF(Séances!$J$2:$J$42,"*"&amp;A5&amp;" –*")</f>
        <v>2</v>
      </c>
      <c r="I5" s="66" t="n">
        <f aca="false">COUNTIF(Séances!$B$2:$B$42,"*"&amp;A5&amp;" –*")</f>
        <v>2</v>
      </c>
    </row>
    <row r="6" customFormat="false" ht="15" hidden="false" customHeight="false" outlineLevel="0" collapsed="false">
      <c r="A6" s="66" t="s">
        <v>141</v>
      </c>
      <c r="B6" s="66" t="s">
        <v>142</v>
      </c>
      <c r="C6" s="67" t="n">
        <v>46279</v>
      </c>
      <c r="D6" s="67" t="n">
        <v>46293</v>
      </c>
      <c r="E6" s="68" t="n">
        <v>46279</v>
      </c>
      <c r="F6" s="68" t="n">
        <v>46307</v>
      </c>
      <c r="G6" s="69" t="n">
        <f aca="false">(E6-C6)/7</f>
        <v>0</v>
      </c>
      <c r="H6" s="66" t="n">
        <f aca="false">COUNTIF(Séances!$J$2:$J$42,"*"&amp;A6&amp;" –*")</f>
        <v>3</v>
      </c>
      <c r="I6" s="66" t="n">
        <f aca="false">COUNTIF(Séances!$B$2:$B$42,"*"&amp;A6&amp;" –*")</f>
        <v>5</v>
      </c>
    </row>
    <row r="7" customFormat="false" ht="15" hidden="false" customHeight="false" outlineLevel="0" collapsed="false">
      <c r="A7" s="66" t="s">
        <v>143</v>
      </c>
      <c r="B7" s="66" t="s">
        <v>144</v>
      </c>
      <c r="C7" s="67" t="n">
        <v>46300</v>
      </c>
      <c r="D7" s="67" t="n">
        <v>46307</v>
      </c>
      <c r="E7" s="68" t="n">
        <v>46307</v>
      </c>
      <c r="F7" s="68" t="n">
        <v>46335</v>
      </c>
      <c r="G7" s="69" t="n">
        <f aca="false">(E7-C7)/7</f>
        <v>1</v>
      </c>
      <c r="H7" s="66" t="n">
        <f aca="false">COUNTIF(Séances!$J$2:$J$42,"*"&amp;A7&amp;" –*")</f>
        <v>2</v>
      </c>
      <c r="I7" s="66" t="n">
        <f aca="false">COUNTIF(Séances!$B$2:$B$42,"*"&amp;A7&amp;" –*")</f>
        <v>3</v>
      </c>
    </row>
    <row r="8" customFormat="false" ht="15" hidden="false" customHeight="false" outlineLevel="0" collapsed="false">
      <c r="A8" s="66" t="s">
        <v>145</v>
      </c>
      <c r="B8" s="66" t="s">
        <v>146</v>
      </c>
      <c r="C8" s="67" t="n">
        <v>46328</v>
      </c>
      <c r="D8" s="67" t="n">
        <v>46342</v>
      </c>
      <c r="E8" s="68" t="n">
        <v>46335</v>
      </c>
      <c r="F8" s="68" t="n">
        <v>46349</v>
      </c>
      <c r="G8" s="69" t="n">
        <f aca="false">(E8-C8)/7</f>
        <v>1</v>
      </c>
      <c r="H8" s="66" t="n">
        <f aca="false">COUNTIF(Séances!$J$2:$J$42,"*"&amp;A8&amp;" –*")</f>
        <v>3</v>
      </c>
      <c r="I8" s="66" t="n">
        <f aca="false">COUNTIF(Séances!$B$2:$B$42,"*"&amp;A8&amp;" –*")</f>
        <v>3</v>
      </c>
    </row>
    <row r="9" customFormat="false" ht="15" hidden="false" customHeight="false" outlineLevel="0" collapsed="false">
      <c r="A9" s="66" t="s">
        <v>147</v>
      </c>
      <c r="B9" s="66" t="s">
        <v>148</v>
      </c>
      <c r="C9" s="67" t="n">
        <v>46349</v>
      </c>
      <c r="D9" s="67" t="n">
        <v>46363</v>
      </c>
      <c r="E9" s="68" t="n">
        <v>46356</v>
      </c>
      <c r="F9" s="68" t="n">
        <v>46370</v>
      </c>
      <c r="G9" s="69" t="n">
        <f aca="false">(E9-C9)/7</f>
        <v>1</v>
      </c>
      <c r="H9" s="66" t="n">
        <f aca="false">COUNTIF(Séances!$J$2:$J$42,"*"&amp;A9&amp;" –*")</f>
        <v>3</v>
      </c>
      <c r="I9" s="66" t="n">
        <f aca="false">COUNTIF(Séances!$B$2:$B$42,"*"&amp;A9&amp;" –*")</f>
        <v>3</v>
      </c>
    </row>
    <row r="10" customFormat="false" ht="15" hidden="false" customHeight="false" outlineLevel="0" collapsed="false">
      <c r="A10" s="66" t="s">
        <v>149</v>
      </c>
      <c r="B10" s="66" t="s">
        <v>150</v>
      </c>
      <c r="C10" s="67" t="n">
        <v>46370</v>
      </c>
      <c r="D10" s="67" t="n">
        <v>46398</v>
      </c>
      <c r="E10" s="68" t="n">
        <v>46391</v>
      </c>
      <c r="F10" s="68" t="n">
        <v>46405</v>
      </c>
      <c r="G10" s="69" t="n">
        <f aca="false">(E10-C10)/7</f>
        <v>3</v>
      </c>
      <c r="H10" s="66" t="n">
        <f aca="false">COUNTIF(Séances!$J$2:$J$42,"*"&amp;A10&amp;" –*")</f>
        <v>3</v>
      </c>
      <c r="I10" s="66" t="n">
        <f aca="false">COUNTIF(Séances!$B$2:$B$42,"*"&amp;A10&amp;" –*")</f>
        <v>3</v>
      </c>
    </row>
    <row r="11" customFormat="false" ht="15" hidden="false" customHeight="false" outlineLevel="0" collapsed="false">
      <c r="A11" s="66" t="s">
        <v>151</v>
      </c>
      <c r="B11" s="66" t="s">
        <v>152</v>
      </c>
      <c r="C11" s="67" t="n">
        <v>46405</v>
      </c>
      <c r="D11" s="67" t="n">
        <v>46419</v>
      </c>
      <c r="E11" s="68" t="n">
        <v>46412</v>
      </c>
      <c r="F11" s="68" t="n">
        <v>46440</v>
      </c>
      <c r="G11" s="69" t="n">
        <f aca="false">(E11-C11)/7</f>
        <v>1</v>
      </c>
      <c r="H11" s="66" t="n">
        <f aca="false">COUNTIF(Séances!$J$2:$J$42,"*"&amp;A11&amp;" –*")</f>
        <v>3</v>
      </c>
      <c r="I11" s="66" t="n">
        <f aca="false">COUNTIF(Séances!$B$2:$B$42,"*"&amp;A11&amp;" –*")</f>
        <v>3</v>
      </c>
    </row>
    <row r="12" customFormat="false" ht="15" hidden="false" customHeight="false" outlineLevel="0" collapsed="false">
      <c r="A12" s="66" t="s">
        <v>153</v>
      </c>
      <c r="B12" s="66" t="s">
        <v>154</v>
      </c>
      <c r="C12" s="67" t="n">
        <v>46440</v>
      </c>
      <c r="D12" s="67" t="n">
        <v>46454</v>
      </c>
      <c r="E12" s="68" t="n">
        <v>46447</v>
      </c>
      <c r="F12" s="68" t="n">
        <v>46461</v>
      </c>
      <c r="G12" s="69" t="n">
        <f aca="false">(E12-C12)/7</f>
        <v>1</v>
      </c>
      <c r="H12" s="66" t="n">
        <f aca="false">COUNTIF(Séances!$J$2:$J$42,"*"&amp;A12&amp;" –*")</f>
        <v>3</v>
      </c>
      <c r="I12" s="66" t="n">
        <f aca="false">COUNTIF(Séances!$B$2:$B$42,"*"&amp;A12&amp;" –*")</f>
        <v>3</v>
      </c>
    </row>
    <row r="13" customFormat="false" ht="15" hidden="false" customHeight="false" outlineLevel="0" collapsed="false">
      <c r="A13" s="66" t="s">
        <v>155</v>
      </c>
      <c r="B13" s="66" t="s">
        <v>156</v>
      </c>
      <c r="C13" s="67" t="n">
        <v>46461</v>
      </c>
      <c r="D13" s="67" t="n">
        <v>46468</v>
      </c>
      <c r="E13" s="68" t="n">
        <v>46468</v>
      </c>
      <c r="F13" s="68" t="n">
        <v>46475</v>
      </c>
      <c r="G13" s="69" t="n">
        <f aca="false">(E13-C13)/7</f>
        <v>1</v>
      </c>
      <c r="H13" s="66" t="n">
        <f aca="false">COUNTIF(Séances!$J$2:$J$42,"*"&amp;A13&amp;" –*")</f>
        <v>2</v>
      </c>
      <c r="I13" s="66" t="n">
        <f aca="false">COUNTIF(Séances!$B$2:$B$42,"*"&amp;A13&amp;" –*")</f>
        <v>2</v>
      </c>
    </row>
    <row r="14" customFormat="false" ht="15" hidden="false" customHeight="false" outlineLevel="0" collapsed="false">
      <c r="A14" s="66" t="s">
        <v>157</v>
      </c>
      <c r="B14" s="66" t="s">
        <v>158</v>
      </c>
      <c r="C14" s="67" t="n">
        <v>46475</v>
      </c>
      <c r="D14" s="67" t="n">
        <v>46496</v>
      </c>
      <c r="E14" s="68" t="n">
        <v>46496</v>
      </c>
      <c r="F14" s="68" t="n">
        <v>46503</v>
      </c>
      <c r="G14" s="69" t="n">
        <f aca="false">(E14-C14)/7</f>
        <v>3</v>
      </c>
      <c r="H14" s="66" t="n">
        <f aca="false">COUNTIF(Séances!$J$2:$J$42,"*"&amp;A14&amp;" –*")</f>
        <v>2</v>
      </c>
      <c r="I14" s="66" t="n">
        <f aca="false">COUNTIF(Séances!$B$2:$B$42,"*"&amp;A14&amp;" –*")</f>
        <v>2</v>
      </c>
    </row>
    <row r="15" customFormat="false" ht="15" hidden="false" customHeight="false" outlineLevel="0" collapsed="false">
      <c r="A15" s="66" t="s">
        <v>159</v>
      </c>
      <c r="B15" s="66" t="s">
        <v>160</v>
      </c>
      <c r="C15" s="67" t="n">
        <v>46503</v>
      </c>
      <c r="D15" s="67" t="n">
        <v>46510</v>
      </c>
      <c r="E15" s="68" t="n">
        <v>46510</v>
      </c>
      <c r="F15" s="68" t="n">
        <v>46517</v>
      </c>
      <c r="G15" s="69" t="n">
        <f aca="false">(E15-C15)/7</f>
        <v>1</v>
      </c>
      <c r="H15" s="66" t="n">
        <f aca="false">COUNTIF(Séances!$J$2:$J$42,"*"&amp;A15&amp;" –*")</f>
        <v>2</v>
      </c>
      <c r="I15" s="66" t="n">
        <f aca="false">COUNTIF(Séances!$B$2:$B$42,"*"&amp;A15&amp;" –*")</f>
        <v>2</v>
      </c>
    </row>
    <row r="16" customFormat="false" ht="15" hidden="false" customHeight="false" outlineLevel="0" collapsed="false">
      <c r="A16" s="66" t="s">
        <v>161</v>
      </c>
      <c r="B16" s="66" t="s">
        <v>162</v>
      </c>
      <c r="C16" s="67" t="n">
        <v>46517</v>
      </c>
      <c r="D16" s="67" t="n">
        <v>46517</v>
      </c>
      <c r="E16" s="68" t="n">
        <v>46524</v>
      </c>
      <c r="F16" s="68" t="n">
        <v>46524</v>
      </c>
      <c r="G16" s="69" t="n">
        <f aca="false">(E16-C16)/7</f>
        <v>1</v>
      </c>
      <c r="H16" s="66" t="n">
        <f aca="false">COUNTIF(Séances!$J$2:$J$42,"*"&amp;A16&amp;" –*")</f>
        <v>1</v>
      </c>
      <c r="I16" s="66" t="n">
        <f aca="false">COUNTIF(Séances!$B$2:$B$42,"*"&amp;A16&amp;" –*")</f>
        <v>1</v>
      </c>
    </row>
    <row r="17" customFormat="false" ht="15" hidden="false" customHeight="false" outlineLevel="0" collapsed="false">
      <c r="A17" s="66" t="s">
        <v>163</v>
      </c>
      <c r="B17" s="66" t="s">
        <v>164</v>
      </c>
      <c r="C17" s="67" t="n">
        <v>46524</v>
      </c>
      <c r="D17" s="67" t="n">
        <v>46538</v>
      </c>
      <c r="E17" s="68" t="n">
        <v>46524</v>
      </c>
      <c r="F17" s="68" t="n">
        <v>46538</v>
      </c>
      <c r="G17" s="69" t="n">
        <f aca="false">(E17-C17)/7</f>
        <v>0</v>
      </c>
      <c r="H17" s="66" t="n">
        <f aca="false">COUNTIF(Séances!$J$2:$J$42,"*"&amp;A17&amp;" –*")</f>
        <v>3</v>
      </c>
      <c r="I17" s="66" t="n">
        <f aca="false">COUNTIF(Séances!$B$2:$B$42,"*"&amp;A17&amp;" –*")</f>
        <v>3</v>
      </c>
    </row>
  </sheetData>
  <mergeCells count="1">
    <mergeCell ref="A2:I2"/>
  </mergeCells>
  <conditionalFormatting sqref="A5:I17">
    <cfRule type="expression" priority="2" aboveAverage="0" equalAverage="0" bottom="0" percent="0" rank="0" text="" dxfId="0">
      <formula>$G5&lt;&gt;0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2026-10-30T15:18:31Z</dcterms:created>
  <dc:creator>openpyxl</dc:creator>
  <dc:description/>
  <dc:language>en-US</dc:language>
  <cp:lastModifiedBy/>
  <dcterms:modified xsi:type="dcterms:W3CDTF">2026-10-30T15:18:31Z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