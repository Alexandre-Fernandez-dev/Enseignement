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uil1" sheetId="1" state="visible" r:id="rId1"/>
    <sheet name="Copy of Feuil1" sheetId="2" state="visible" r:id="rId2"/>
    <sheet name="Sheet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21">
    <font>
      <name val="Aptos Narrow"/>
      <color theme="1"/>
      <sz val="11"/>
      <scheme val="minor"/>
    </font>
    <font>
      <name val="Arial"/>
      <b val="1"/>
      <color theme="1"/>
      <sz val="11"/>
    </font>
    <font>
      <name val="Aptos Narrow"/>
      <b val="1"/>
      <color theme="1"/>
      <sz val="11"/>
    </font>
    <font/>
    <font>
      <name val="Aptos Narrow"/>
      <color theme="1"/>
      <sz val="11"/>
    </font>
    <font>
      <name val="Arial"/>
      <color theme="1"/>
      <sz val="10"/>
    </font>
    <font>
      <name val="Aptos Narrow"/>
      <color theme="1"/>
      <sz val="10"/>
    </font>
    <font>
      <name val="Arial"/>
      <color rgb="FF0000FF"/>
      <sz val="10"/>
      <u val="single"/>
    </font>
    <font>
      <name val="Aptos Narrow"/>
      <color rgb="FF0000FF"/>
      <sz val="10"/>
      <u val="single"/>
    </font>
    <font>
      <name val="Aptos Narrow"/>
      <b val="1"/>
      <color theme="1"/>
      <sz val="10"/>
    </font>
    <font>
      <name val="Aptos Narrow"/>
      <color theme="1"/>
      <scheme val="minor"/>
    </font>
    <font>
      <name val="Arial"/>
      <color rgb="FF467886"/>
      <sz val="10"/>
      <u val="single"/>
    </font>
    <font>
      <name val="Arial"/>
      <color rgb="FFFF0000"/>
      <sz val="10"/>
      <u val="single"/>
    </font>
    <font>
      <name val="Arial"/>
      <color theme="1"/>
    </font>
    <font>
      <name val="Arial"/>
      <color rgb="FF0000FF"/>
      <sz val="10"/>
      <u val="single"/>
    </font>
    <font>
      <name val="Arial"/>
      <color rgb="FF0000FF"/>
      <u val="single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i val="1"/>
      <color rgb="FF7030A0"/>
      <sz val="10"/>
    </font>
    <font>
      <name val="Aptos Narrow"/>
      <i val="1"/>
      <color rgb="FF7030A0"/>
      <sz val="10"/>
    </font>
    <font>
      <i val="1"/>
      <color rgb="FF7030A0"/>
    </font>
  </fonts>
  <fills count="11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BFBFBF"/>
        <bgColor rgb="FFBFBFBF"/>
      </patternFill>
    </fill>
    <fill>
      <patternFill patternType="solid">
        <fgColor rgb="FF47D45A"/>
        <bgColor rgb="FF47D45A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A6C9EB"/>
      </patternFill>
    </fill>
    <fill>
      <patternFill patternType="solid">
        <f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0" pivotButton="0" quotePrefix="0" xfId="0"/>
    <xf numFmtId="164" fontId="6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3" fillId="0" borderId="6" pivotButton="0" quotePrefix="0" xfId="0"/>
    <xf numFmtId="0" fontId="5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1" applyAlignment="1" pivotButton="0" quotePrefix="0" xfId="0">
      <alignment horizontal="left" vertical="center"/>
    </xf>
    <xf numFmtId="0" fontId="15" fillId="0" borderId="0" pivotButton="0" quotePrefix="0" xfId="0"/>
    <xf numFmtId="0" fontId="5" fillId="0" borderId="5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/>
    </xf>
    <xf numFmtId="0" fontId="5" fillId="3" borderId="8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4" borderId="1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wrapText="1"/>
    </xf>
    <xf numFmtId="0" fontId="6" fillId="5" borderId="9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0" borderId="1" pivotButton="0" quotePrefix="0" xfId="0"/>
    <xf numFmtId="0" fontId="9" fillId="4" borderId="1" applyAlignment="1" pivotButton="0" quotePrefix="0" xfId="0">
      <alignment horizontal="center"/>
    </xf>
    <xf numFmtId="0" fontId="4" fillId="4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0" fillId="0" borderId="0" applyAlignment="1" pivotButton="0" quotePrefix="0" xfId="0">
      <alignment/>
    </xf>
    <xf numFmtId="0" fontId="0" fillId="0" borderId="6" pivotButton="0" quotePrefix="0" xfId="0"/>
    <xf numFmtId="0" fontId="5" fillId="0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vertical="top" wrapText="1"/>
    </xf>
    <xf numFmtId="0" fontId="18" fillId="3" borderId="7" applyAlignment="1" pivotButton="0" quotePrefix="0" xfId="0">
      <alignment vertical="top" wrapText="1"/>
    </xf>
    <xf numFmtId="0" fontId="19" fillId="3" borderId="7" applyAlignment="1" pivotButton="0" quotePrefix="0" xfId="0">
      <alignment vertical="top" wrapText="1"/>
    </xf>
    <xf numFmtId="0" fontId="5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vertical="top" wrapText="1"/>
    </xf>
    <xf numFmtId="0" fontId="19" fillId="1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19" fillId="2" borderId="1" applyAlignment="1" pivotButton="0" quotePrefix="0" xfId="0">
      <alignment vertical="top" wrapText="1"/>
    </xf>
    <xf numFmtId="0" fontId="5" fillId="10" borderId="8" applyAlignment="1" pivotButton="0" quotePrefix="0" xfId="0">
      <alignment horizontal="left" vertical="center"/>
    </xf>
    <xf numFmtId="0" fontId="19" fillId="10" borderId="7" applyAlignment="1" pivotButton="0" quotePrefix="0" xfId="0">
      <alignment vertical="top" wrapText="1"/>
    </xf>
    <xf numFmtId="0" fontId="19" fillId="6" borderId="1" applyAlignment="1" pivotButton="0" quotePrefix="0" xfId="0">
      <alignment vertical="top" wrapText="1"/>
    </xf>
    <xf numFmtId="0" fontId="19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oopmaths.fr/alea/?uuid=410a3&amp;id=2N30-3&amp;n=1&amp;d=10&amp;cd=1&amp;tip=0&amp;alea=R51F&amp;uuid=0c61c&amp;id=2L11-1&amp;n=1&amp;d=10&amp;s=5&amp;s2=true&amp;s3=3&amp;s4=3&amp;cd=1&amp;tip=0&amp;alea=dtnl&amp;uuid=816f5&amp;id=2A-N7-7&amp;alea=4PHH" TargetMode="External" Id="rId1" /><Relationship Type="http://schemas.openxmlformats.org/officeDocument/2006/relationships/hyperlink" Target="https://coopmaths.fr/alea/?uuid=b51bd&amp;id=2N31-1&amp;n=1&amp;d=10&amp;s=1-1-1-1*1111*1&amp;cd=1&amp;tip=0&amp;alea=OIWj&amp;uuid=60cc5&amp;id=2L11-3&amp;n=1&amp;d=10&amp;s=1-2-3-4-5-6-7&amp;cd=1&amp;tip=0&amp;alea=HR8n&amp;uuid=8148b&amp;id=2A-N7-6&amp;alea=FIXi" TargetMode="External" Id="rId2" /><Relationship Type="http://schemas.openxmlformats.org/officeDocument/2006/relationships/hyperlink" Target="https://www.mathalea.fr/alea/?uuid=d02da&amp;id=2L21-4&amp;n=4&amp;d=10&amp;s=true&amp;s2=1-2-3-4&amp;s3=false&amp;cd=1&amp;tip=0&amp;alea=NGix&amp;uuid=d02da&amp;id=2L21-4&amp;n=2&amp;d=10&amp;s=true&amp;s2=6-7&amp;s3=false&amp;cd=1&amp;tip=0&amp;alea=3Ln3&amp;uuid=7959f&amp;id=2L21-3&amp;alea=ODTv&amp;uuid=622b9&amp;id=2L20-1&amp;n=1&amp;d=10&amp;s=0&amp;s2=true&amp;cd=0&amp;tip=0&amp;alea=UEiq&amp;uuid=622b9&amp;id=2L20-1&amp;n=2&amp;d=10&amp;s=0&amp;s2=false&amp;cd=0&amp;tip=0&amp;alea=5mMH" TargetMode="External" Id="rId3" /><Relationship Type="http://schemas.openxmlformats.org/officeDocument/2006/relationships/hyperlink" Target="https://coopmaths.fr/alea/?uuid=29919&amp;id=2N31-2&amp;n=1&amp;d=10&amp;s=3&amp;s2=true&amp;s3=false&amp;s4=true&amp;s5=1&amp;cd=1&amp;tip=0&amp;alea=gLhI&amp;uuid=35d63&amp;id=2L11-2&amp;n=1&amp;d=10&amp;s=3&amp;s2=3&amp;s3=3&amp;s4=3&amp;cd=1&amp;tip=0&amp;alea=8ofG&amp;uuid=f69e5&amp;id=2A-N7-5&amp;alea=uNWE&amp;z=1.1" TargetMode="External" Id="rId4" /><Relationship Type="http://schemas.openxmlformats.org/officeDocument/2006/relationships/hyperlink" Target="https://coopmaths.fr/alea/?uuid=1252f&amp;id=2A-N2-2&amp;n=1&amp;d=10&amp;qcm=1&amp;cd=1&amp;tip=0&amp;alea=76fA&amp;uuid=aa4be&amp;id=2A-C2-1&amp;n=1&amp;d=10&amp;qcm=0&amp;cd=1&amp;tip=0&amp;alea=qNvt&amp;uuid=e6427&amp;id=2A-N7-3&amp;alea=r2zz&amp;v=diaporama&amp;ds=10000100" TargetMode="External" Id="rId5" /><Relationship Type="http://schemas.openxmlformats.org/officeDocument/2006/relationships/hyperlink" Target="https://www.mathalea.fr/alea/?uuid=67f73&amp;id=2N33-3&amp;alea=1CsI&amp;uuid=3b7ee&amp;id=2L12-1&amp;n=1&amp;d=10&amp;s=2&amp;s2=true&amp;cd=1&amp;tip=0&amp;alea=SXf2&amp;uuid=d02da&amp;id=2L21-4&amp;n=1&amp;d=10&amp;s=true&amp;s2=2-7&amp;s3=false&amp;cd=1&amp;tip=0&amp;alea=bEEn" TargetMode="External" Id="rId6" /><Relationship Type="http://schemas.openxmlformats.org/officeDocument/2006/relationships/hyperlink" Target="https://coopmaths.fr/alea/?uuid=d02da&amp;id=2L21-4&amp;n=1&amp;d=10&amp;s=true&amp;s2=2-7&amp;s3=false&amp;cd=1&amp;tip=0&amp;alea=bEEn%3Fuuid%3D6575c&amp;uuid=6575c&amp;id=2N32-1&amp;n=1&amp;d=10&amp;s=4&amp;s2=true&amp;cd=0&amp;tip=0&amp;alea=3Wjr%3Fuuid%3D35d63&amp;uuid=35d63&amp;id=2L11-2&amp;n=1&amp;d=10&amp;s=3&amp;s2=3&amp;s3=3&amp;s4=3&amp;cd=1&amp;tip=0&amp;alea=8ofG&amp;z=1.1" TargetMode="External" Id="rId7" /><Relationship Type="http://schemas.openxmlformats.org/officeDocument/2006/relationships/hyperlink" Target="https://coopmaths.fr/alea/?uuid=88281&amp;id=2N32-flash1&amp;alea=xikN&amp;uuid=889ef&amp;id=2L13-2&amp;n=1&amp;d=10&amp;s=3&amp;s2=false&amp;s3=3&amp;s4=true&amp;cd=1&amp;tip=0&amp;alea=LRT0&amp;uuid=550cf&amp;id=2L21-6&amp;alea=9uMy" TargetMode="External" Id="rId8" /><Relationship Type="http://schemas.openxmlformats.org/officeDocument/2006/relationships/hyperlink" Target="https://www.mathalea.fr/alea/?uuid=2e5df&amp;id=2L11-5&amp;alea=dOxp&amp;uuid=0fe88&amp;id=2L11-6&amp;n=7&amp;d=10&amp;s=9&amp;cd=1&amp;tip=0&amp;alea=g33Y" TargetMode="External" Id="rId9" /><Relationship Type="http://schemas.openxmlformats.org/officeDocument/2006/relationships/hyperlink" Target="https://www.mathalea.fr/alea/?uuid=fc2e8&amp;id=2N43-4&amp;n=1&amp;d=10&amp;cd=1&amp;tip=0&amp;alea=P9VD&amp;uuid=91cd5&amp;id=2L21-flash2&amp;alea=cX2r&amp;uuid=8117f&amp;id=2F12-3&amp;alea=hNqD" TargetMode="External" Id="rId10" /><Relationship Type="http://schemas.openxmlformats.org/officeDocument/2006/relationships/hyperlink" Target="https://coopmaths.fr/alea/?uuid=7bc4a&amp;id=2G20-flash2&amp;alea=08ts&amp;uuid=d2b57&amp;id=2G20-1&amp;n=1&amp;d=10&amp;s=1&amp;cd=1&amp;tip=0&amp;alea=Rujq&amp;uuid=57d64&amp;id=2G21-1&amp;alea=hncI" TargetMode="External" Id="rId11" /><Relationship Type="http://schemas.openxmlformats.org/officeDocument/2006/relationships/hyperlink" Target="https://www.mathalea.fr/alea/?uuid=b31eb&amp;id=2N43-flash1&amp;alea=eRiW&amp;uuid=cb6b3&amp;id=2L21-flash1&amp;alea=Oiii&amp;uuid=966a6&amp;id=2F12-flash1&amp;alea=HcUJ" TargetMode="External" Id="rId12" /><Relationship Type="http://schemas.openxmlformats.org/officeDocument/2006/relationships/hyperlink" Target="https://www.mathalea.fr/alea/?uuid=b31eb&amp;id=2N43-flash1&amp;alea=HIdo&amp;uuid=7959f&amp;id=2L21-3&amp;n=1&amp;d=10&amp;s=1&amp;cd=1&amp;tip=0&amp;alea=jw5O&amp;uuid=4b122&amp;id=2F12-4&amp;n=1&amp;d=10&amp;s=2&amp;cd=1&amp;tip=0&amp;alea=Y0c3" TargetMode="External" Id="rId13" /><Relationship Type="http://schemas.openxmlformats.org/officeDocument/2006/relationships/hyperlink" Target="https://coopmaths.fr/alea/?uuid=16c85&amp;id=1A-C01-7&amp;alea=BVO5&amp;uuid=a0c25&amp;id=2L10-7&amp;n=1&amp;d=10&amp;s=3&amp;cd=1&amp;tip=0&amp;alea=r7jq&amp;uuid=a9012&amp;id=2A-G2-1&amp;alea=NY2k" TargetMode="External" Id="rId14" /><Relationship Type="http://schemas.openxmlformats.org/officeDocument/2006/relationships/hyperlink" Target="https://coopmaths.fr/alea/?uuid=21ea5&amp;id=1A-C01-2&amp;alea=1C63&amp;uuid=a0c25&amp;id=2L10-7&amp;n=1&amp;d=10&amp;s=3&amp;cd=1&amp;tip=0&amp;alea=Rp6f&amp;uuid=d3f74&amp;id=2A-G2-2&amp;alea=yK9y" TargetMode="External" Id="rId15" /><Relationship Type="http://schemas.openxmlformats.org/officeDocument/2006/relationships/hyperlink" Target="https://coopmaths.fr/alea/?uuid=21ea5&amp;id=1A-C01-2&amp;alea=0Wc7&amp;uuid=a0c25&amp;id=2L10-7&amp;n=1&amp;d=10&amp;s=3&amp;cd=1&amp;tip=0&amp;alea=MuKq&amp;uuid=a9012&amp;id=2A-G2-1&amp;i=1&amp;alea=oihR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1" min="1" max="1"/>
    <col width="26.88" customWidth="1" style="61" min="2" max="2"/>
    <col width="21.75" customWidth="1" style="61" min="3" max="3"/>
    <col width="23.63" customWidth="1" style="61" min="4" max="4"/>
    <col width="21.75" customWidth="1" style="61" min="5" max="5"/>
    <col width="27" customWidth="1" style="61" min="6" max="6"/>
    <col width="23.75" customWidth="1" style="61" min="7" max="7"/>
    <col width="31.63" customWidth="1" style="61" min="8" max="8"/>
    <col width="21.88" customWidth="1" style="61" min="9" max="9"/>
    <col width="10.63" customWidth="1" style="61" min="10" max="32"/>
  </cols>
  <sheetData>
    <row r="1" ht="14.25" customHeight="1" s="61">
      <c r="A1" s="1" t="inlineStr">
        <is>
          <t>Semaine</t>
        </is>
      </c>
      <c r="B1" s="2" t="inlineStr">
        <is>
          <t>Cours en classe entière (3h/semaine)</t>
        </is>
      </c>
      <c r="C1" s="3" t="inlineStr">
        <is>
          <t>Lundi</t>
        </is>
      </c>
      <c r="D1" s="3" t="inlineStr">
        <is>
          <t>Jeudi</t>
        </is>
      </c>
      <c r="E1" s="3" t="inlineStr">
        <is>
          <t>Vendredi</t>
        </is>
      </c>
      <c r="F1" s="2" t="inlineStr">
        <is>
          <t>Fiche calcul 
(en demi-groupe 1h/semaine)</t>
        </is>
      </c>
      <c r="G1" s="3" t="inlineStr">
        <is>
          <t>Jeudi</t>
        </is>
      </c>
      <c r="H1" s="2" t="inlineStr">
        <is>
          <t>AP (1h en groupe à eff variables)</t>
        </is>
      </c>
      <c r="I1" s="2" t="n"/>
      <c r="J1" s="2" t="inlineStr">
        <is>
          <t xml:space="preserve">Questions flashs </t>
        </is>
      </c>
      <c r="K1" s="62" t="n"/>
      <c r="L1" s="63" t="n"/>
      <c r="M1" s="7" t="n"/>
      <c r="N1" s="64" t="inlineStr">
        <is>
          <t>Texte violet en italique : séances prévues (pas encore faites), mises à jour le 30/10/2026.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 ht="14.25" customHeight="1" s="61">
      <c r="A2" s="8">
        <f>date(2026,8,31)</f>
        <v/>
      </c>
      <c r="B2" s="9" t="inlineStr">
        <is>
          <t>Vecteurs partie 1</t>
        </is>
      </c>
      <c r="C2" s="10" t="n"/>
      <c r="D2" s="11" t="inlineStr">
        <is>
          <t>Présentation (matériel, évaluations, règlements, notes, questions flash)
Questions flash https://coopmaths.fr/alea/?uuid=410a3&amp;id=2N30-3&amp;n=1&amp;d=10&amp;cd=1&amp;tip=0&amp;alea=R51F&amp;uuid=0c61c&amp;id=2L11-1&amp;n=1&amp;d=10&amp;s=5&amp;s2=true&amp;s3=3&amp;s4=3&amp;cd=1&amp;tip=0&amp;alea=dtnl&amp;uuid=816f5&amp;id=2A-N7-7&amp;alea=4PHH
Activité : Télécabine
Devoir : Fin activité</t>
        </is>
      </c>
      <c r="E2" s="11" t="inlineStr">
        <is>
          <t>Questions flash : https://coopmaths.fr/alea/?uuid=b51bd&amp;id=2N31-1&amp;n=1&amp;d=10&amp;s=1-1-1-1*1111*1&amp;cd=1&amp;tip=0&amp;alea=OIWj&amp;uuid=60cc5&amp;id=2L11-3&amp;n=1&amp;d=10&amp;s=1-2-3-4-5-6-7&amp;cd=1&amp;tip=0&amp;alea=HR8n&amp;uuid=8148b&amp;id=2A-N7-6&amp;alea=FIXi
Cours : vecteurs et translations
Exos : (LS_ch6) 14, 27, 28
Devoir : 32</t>
        </is>
      </c>
      <c r="F2" s="12" t="inlineStr">
        <is>
          <t xml:space="preserve">équations </t>
        </is>
      </c>
      <c r="G2" s="13" t="inlineStr">
        <is>
          <t>https://www.mathalea.fr/alea/?uuid=d02da&amp;id=2L21-4&amp;n=4&amp;d=10&amp;s=true&amp;s2=1-2-3-4&amp;s3=false&amp;cd=1&amp;tip=0&amp;alea=NGix&amp;uuid=d02da&amp;id=2L21-4&amp;n=2&amp;d=10&amp;s=true&amp;s2=6-7&amp;s3=false&amp;cd=1&amp;tip=0&amp;alea=3Ln3&amp;uuid=7959f&amp;id=2L21-3&amp;alea=ODTv&amp;uuid=622b9&amp;id=2L20-1&amp;n=1&amp;d=10&amp;s=0&amp;s2=true&amp;cd=0&amp;tip=0&amp;alea=UEiq&amp;uuid=622b9&amp;id=2L20-1&amp;n=2&amp;d=10&amp;s=0&amp;s2=false&amp;cd=0&amp;tip=0&amp;alea=5mMH</t>
        </is>
      </c>
      <c r="H2" s="12" t="inlineStr">
        <is>
          <t>Test AP =&gt; constitution de 3 groupes</t>
        </is>
      </c>
      <c r="I2" s="10" t="inlineStr">
        <is>
          <t>Test AP (25 min)
On corrige ensemble</t>
        </is>
      </c>
      <c r="J2" s="14" t="inlineStr">
        <is>
          <t>1 calcul num</t>
        </is>
      </c>
      <c r="K2" s="14" t="inlineStr">
        <is>
          <t>1 calc litt</t>
        </is>
      </c>
      <c r="L2" s="14" t="inlineStr">
        <is>
          <t>1 autre</t>
        </is>
      </c>
      <c r="M2" s="15" t="n"/>
    </row>
    <row r="3" ht="14.25" customHeight="1" s="61">
      <c r="A3" s="16">
        <f>A2+7</f>
        <v/>
      </c>
      <c r="B3" s="9" t="inlineStr">
        <is>
          <t>Vecteurs partie 1</t>
        </is>
      </c>
      <c r="C3" s="11" t="inlineStr">
        <is>
          <t xml:space="preserve">Questions flash : https://coopmaths.fr/alea/?uuid=29919&amp;id=2N31-2&amp;n=1&amp;d=10&amp;s=3&amp;s2=true&amp;s3=false&amp;s4=true&amp;s5=1&amp;cd=1&amp;tip=0&amp;alea=gLhI&amp;uuid=35d63&amp;id=2L11-2&amp;n=1&amp;d=10&amp;s=3&amp;s2=3&amp;s3=3&amp;s4=3&amp;cd=1&amp;tip=0&amp;alea=8ofG&amp;uuid=f69e5&amp;id=2A-N7-5&amp;alea=uNWE&amp;z=1.1
Correction 32
Cours : Égalités de vecteurs
Exos : 29, 31, 33
Devoirs : </t>
        </is>
      </c>
      <c r="D3" s="11" t="inlineStr">
        <is>
          <t xml:space="preserve">Q flash : https://coopmaths.fr/alea/?uuid=1252f&amp;id=2A-N2-2&amp;n=1&amp;d=10&amp;qcm=1&amp;cd=1&amp;tip=0&amp;alea=76fA&amp;uuid=aa4be&amp;id=2A-C2-1&amp;n=1&amp;d=10&amp;qcm=0&amp;cd=1&amp;tip=0&amp;alea=qNvt&amp;uuid=e6427&amp;id=2A-N7-3&amp;alea=r2zz&amp;v=diaporama&amp;ds=10000100
Correction Exos 29, 31
Exos : 28, 36, 38
</t>
        </is>
      </c>
      <c r="E3" s="21" t="inlineStr">
        <is>
          <t>ÉVAL 10 min
Activité somme vecteurs
Cours : Somme de vecteurs et chasles
Exo : Exo 39, 41 (à finir)</t>
        </is>
      </c>
      <c r="F3" s="12" t="inlineStr">
        <is>
          <t xml:space="preserve">équations </t>
        </is>
      </c>
      <c r="G3" s="10" t="inlineStr">
        <is>
          <t>fiche calcul 2</t>
        </is>
      </c>
      <c r="H3" s="12" t="inlineStr">
        <is>
          <t>Groupe 1: fractions niveau 1</t>
        </is>
      </c>
      <c r="I3" s="12" t="n"/>
      <c r="J3" s="12" t="inlineStr">
        <is>
          <t>Fractions</t>
        </is>
      </c>
      <c r="K3" s="12" t="inlineStr">
        <is>
          <t>Distributivité</t>
        </is>
      </c>
      <c r="L3" s="12" t="inlineStr">
        <is>
          <t>Conversions</t>
        </is>
      </c>
    </row>
    <row r="4" ht="14.25" customHeight="1" s="61">
      <c r="A4" s="16">
        <f>A3+7</f>
        <v/>
      </c>
      <c r="B4" s="9" t="inlineStr">
        <is>
          <t>Vecteurs partie 1</t>
        </is>
      </c>
      <c r="C4" s="11" t="inlineStr">
        <is>
          <t>Q flash : https://www.mathalea.fr/alea/?uuid=67f73&amp;id=2N33-3&amp;alea=1CsI&amp;uuid=3b7ee&amp;id=2L12-1&amp;n=1&amp;d=10&amp;s=2&amp;s2=true&amp;cd=1&amp;tip=0&amp;alea=SXf2&amp;uuid=d02da&amp;id=2L21-4&amp;n=1&amp;d=10&amp;s=true&amp;s2=2-7&amp;s3=false&amp;cd=1&amp;tip=0&amp;alea=bEEn
Cours relation de chasles
Corrigé 36, 38
ex 39 (a finir) 41, (42), 43
Devoir 39, 46, 69</t>
        </is>
      </c>
      <c r="D4" s="11" t="inlineStr">
        <is>
          <t>Éval flash :
sujet A : https://coopmaths.fr/alea/?uuid=d02da&amp;id=2L21-4&amp;n=1&amp;d=10&amp;s=true&amp;s2=2-7&amp;s3=false&amp;cd=1&amp;tip=0&amp;alea=bEEn%3Fuuid%3D6575c&amp;uuid=6575c&amp;id=2N32-1&amp;n=1&amp;d=10&amp;s=4&amp;s2=true&amp;cd=0&amp;tip=0&amp;alea=3Wjr%3Fuuid%3D35d63&amp;uuid=35d63&amp;id=2L11-2&amp;n=1&amp;d=10&amp;s=3&amp;s2=3&amp;s3=3&amp;s4=3&amp;cd=1&amp;tip=0&amp;alea=8ofG&amp;z=1.1
sujet B : https://coopmaths.fr/alea/?uuid=d02da&amp;id=2L21-4&amp;n=1&amp;d=10&amp;s=true&amp;s2=2-7&amp;s3=false&amp;cd=1&amp;tip=0&amp;alea=BaBt&amp;uuid=6575c&amp;id=2N32-1&amp;n=1&amp;d=10&amp;s=4&amp;s2=true&amp;cd=0&amp;tip=0&amp;alea=7jos&amp;uuid=35d63&amp;id=2L11-2&amp;n=1&amp;d=10&amp;s=3&amp;s2=3&amp;s3=3&amp;s4=3&amp;cd=1&amp;tip=0&amp;alea=t8kA&amp;z=1.1
Corrigé exo 39, 41 (en partie).
Exos (42), 43, 69, 45</t>
        </is>
      </c>
      <c r="E4" s="11" t="inlineStr">
        <is>
          <t xml:space="preserve">Q flash : https://coopmaths.fr/alea/?uuid=88281&amp;id=2N32-flash1&amp;alea=xikN&amp;uuid=889ef&amp;id=2L13-2&amp;n=1&amp;d=10&amp;s=3&amp;s2=false&amp;s3=3&amp;s4=true&amp;cd=1&amp;tip=0&amp;alea=LRT0&amp;uuid=550cf&amp;id=2L21-6&amp;alea=9uMy
ex 39, 41
43, 69, 45
</t>
        </is>
      </c>
      <c r="F4" s="10" t="inlineStr">
        <is>
          <t>Test de positionnement</t>
        </is>
      </c>
      <c r="G4" s="19" t="inlineStr">
        <is>
          <t>https://www.mathalea.fr/alea/?uuid=2e5df&amp;id=2L11-5&amp;alea=dOxp&amp;uuid=0fe88&amp;id=2L11-6&amp;n=7&amp;d=10&amp;s=9&amp;cd=1&amp;tip=0&amp;alea=g33Y</t>
        </is>
      </c>
      <c r="H4" s="12" t="inlineStr">
        <is>
          <t>Groupe 1: relatifs et puissances niveau 1</t>
        </is>
      </c>
      <c r="I4" s="12" t="n"/>
      <c r="J4" s="65" t="n"/>
      <c r="K4" s="65" t="n"/>
      <c r="L4" s="65" t="n"/>
    </row>
    <row r="5" ht="14.25" customHeight="1" s="61">
      <c r="A5" s="16">
        <f>A4+7</f>
        <v/>
      </c>
      <c r="B5" s="9" t="inlineStr">
        <is>
          <t>Vecteurs partie 1</t>
        </is>
      </c>
      <c r="C5" s="11" t="inlineStr">
        <is>
          <t>Q flash : https://www.mathalea.fr/alea/?uuid=fc2e8&amp;id=2N43-4&amp;n=1&amp;d=10&amp;cd=1&amp;tip=0&amp;alea=P9VD&amp;uuid=91cd5&amp;id=2L21-flash2&amp;alea=cX2r&amp;uuid=8117f&amp;id=2F12-3&amp;alea=hNqD
Produit vecteur réel et colinéarité
corriger 43 puis cours puis Ex 48, 45, 36</t>
        </is>
      </c>
      <c r="D5" s="21" t="inlineStr">
        <is>
          <t>Corrigé éval.
Corrigé exo 2
Exos de la fiche : 1, 3</t>
        </is>
      </c>
      <c r="E5" s="22" t="inlineStr">
        <is>
          <t>Q flash : https://coopmaths.fr/alea/?uuid=7bc4a&amp;id=2G20-flash2&amp;alea=08ts&amp;uuid=d2b57&amp;id=2G20-1&amp;n=1&amp;d=10&amp;s=1&amp;cd=1&amp;tip=0&amp;alea=Rujq&amp;uuid=57d64&amp;id=2G21-1&amp;alea=hncI
Exos 4, 5, 6</t>
        </is>
      </c>
      <c r="F5" s="21" t="inlineStr">
        <is>
          <t>Séance exo construction vecteurs</t>
        </is>
      </c>
      <c r="G5" s="9" t="n"/>
      <c r="H5" s="12" t="inlineStr">
        <is>
          <t>Groupe 2: fractions niveau 2</t>
        </is>
      </c>
      <c r="I5" s="12" t="n"/>
      <c r="J5" s="44" t="inlineStr">
        <is>
          <t>Puissances</t>
        </is>
      </c>
      <c r="K5" s="44" t="inlineStr">
        <is>
          <t>Equations 1er degré</t>
        </is>
      </c>
      <c r="L5" s="44" t="inlineStr">
        <is>
          <t>Lect image/ant</t>
        </is>
      </c>
    </row>
    <row r="6" ht="14.25" customHeight="1" s="61">
      <c r="A6" s="16">
        <f>A5+7</f>
        <v/>
      </c>
      <c r="B6" s="12" t="inlineStr">
        <is>
          <t xml:space="preserve">Ensemble de nombres </t>
        </is>
      </c>
      <c r="C6" s="10" t="inlineStr">
        <is>
          <t>Révisions + Contrôle vecteurs</t>
        </is>
      </c>
      <c r="D6" s="24" t="inlineStr">
        <is>
          <t>bloquage</t>
        </is>
      </c>
      <c r="E6" s="25" t="inlineStr">
        <is>
          <t>https://www.mathalea.fr/alea/?uuid=b31eb&amp;id=2N43-flash1&amp;alea=eRiW&amp;uuid=cb6b3&amp;id=2L21-flash1&amp;alea=Oiii&amp;uuid=966a6&amp;id=2F12-flash1&amp;alea=HcUJ
Ensembles de nombres
Activité 1.A avant intervalles
Cours partie 1
Exos 1 (partiellement)</t>
        </is>
      </c>
      <c r="F6" s="12" t="inlineStr">
        <is>
          <t xml:space="preserve">Factorisation </t>
        </is>
      </c>
      <c r="G6" s="12" t="n"/>
      <c r="H6" s="12" t="inlineStr">
        <is>
          <t>Groupe 2: relatifs et puissances niveau 2</t>
        </is>
      </c>
      <c r="I6" s="12" t="n"/>
      <c r="J6" s="65" t="n"/>
      <c r="K6" s="65" t="n"/>
      <c r="L6" s="65" t="n"/>
    </row>
    <row r="7" ht="14.25" customHeight="1" s="61">
      <c r="A7" s="16">
        <f>A6+7</f>
        <v/>
      </c>
      <c r="B7" s="12" t="inlineStr">
        <is>
          <t xml:space="preserve">Ensemble de nombres </t>
        </is>
      </c>
      <c r="C7" s="25" t="inlineStr">
        <is>
          <t>Flash : https://www.mathalea.fr/alea/?uuid=b31eb&amp;id=2N43-flash1&amp;alea=HIdo&amp;uuid=7959f&amp;id=2L21-3&amp;n=1&amp;d=10&amp;s=1&amp;cd=1&amp;tip=0&amp;alea=jw5O&amp;uuid=4b122&amp;id=2F12-4&amp;n=1&amp;d=10&amp;s=2&amp;cd=1&amp;tip=0&amp;alea=Y0c3)
Activité A puis partie B
Cours 2 jusquà def 2 inclue
Exo 2, 3, 4 en partie</t>
        </is>
      </c>
      <c r="D7" s="24" t="inlineStr">
        <is>
          <t>Correction 1, 2, 3 (partiellement).
Correction activité 1.A question 7
Activité 1 Partie C.
Cours : Intersection et union
Exercice 6 (partiellement)
Devoir : Exercice 5, 6</t>
        </is>
      </c>
      <c r="E7" s="26" t="inlineStr">
        <is>
          <t xml:space="preserve">Flash : https://coopmaths.fr/alea/?uuid=16c85&amp;id=1A-C01-7&amp;alea=BVO5&amp;uuid=a0c25&amp;id=2L10-7&amp;n=1&amp;d=10&amp;s=3&amp;cd=1&amp;tip=0&amp;alea=r7jq&amp;uuid=a9012&amp;id=2A-G2-1&amp;alea=NY2k
Corrrection exercices 5, 6 (partiellement)
</t>
        </is>
      </c>
      <c r="F7" s="10" t="inlineStr">
        <is>
          <t xml:space="preserve">Factorisation </t>
        </is>
      </c>
      <c r="G7" s="12" t="n"/>
      <c r="H7" s="12" t="inlineStr">
        <is>
          <t>Groupe 3: Fractions niveau 3</t>
        </is>
      </c>
      <c r="I7" s="12" t="n"/>
      <c r="J7" s="44" t="inlineStr">
        <is>
          <t>Comparaison nombre</t>
        </is>
      </c>
      <c r="K7" s="66" t="inlineStr">
        <is>
          <t>App num d'une formule</t>
        </is>
      </c>
      <c r="L7" s="66" t="inlineStr">
        <is>
          <t>Coordonnées de points</t>
        </is>
      </c>
    </row>
    <row r="8" ht="14.25" customHeight="1" s="61">
      <c r="A8" s="16">
        <f>A7+7</f>
        <v/>
      </c>
      <c r="B8" s="28" t="inlineStr">
        <is>
          <t xml:space="preserve">Ensemble de nombres </t>
        </is>
      </c>
      <c r="C8" s="29" t="inlineStr">
        <is>
          <t xml:space="preserve">https://coopmaths.fr/alea/?uuid=21ea5&amp;id=1A-C01-2&amp;alea=1C63&amp;uuid=a0c25&amp;id=2L10-7&amp;n=1&amp;d=10&amp;s=3&amp;cd=1&amp;tip=0&amp;alea=Rp6f&amp;uuid=d3f74&amp;id=2A-G2-2&amp;alea=yK9y
 Cours : Inégalités et opérations.
Exercice 7. Dm exo 8
</t>
        </is>
      </c>
      <c r="D8" s="67" t="inlineStr">
        <is>
          <t>https://coopmaths.fr/alea/?uuid=21ea5&amp;id=1A-C01-2&amp;alea=0Wc7&amp;uuid=a0c25&amp;id=2L10-7&amp;n=1&amp;d=10&amp;s=3&amp;cd=1&amp;tip=0&amp;alea=MuKq&amp;uuid=a9012&amp;id=2A-G2-1&amp;i=1&amp;alea=oihR Ramasser DM exo 8
Correction exo de la fiche calcul
Exo sur les inéquations.
Corrections du DM et exercice 7.
Devoir (révisions) : questions flash ; feuille d'exercices, ex. 2, 3, 5, 6, 7, 8 ; fiche 3, ex. 3, 4, 5 ; fiche 4, ex. 2, 3, 4.</t>
        </is>
      </c>
      <c r="E8" s="67" t="inlineStr">
        <is>
          <t>Contrôle sommatif (1 h) : 3 questions flash, 1 factorisation avec une identité remarquable, 2 exercices sur les intervalles (union, intersection), 1 exercice sur les inéquations et le DM.</t>
        </is>
      </c>
      <c r="F8" s="12" t="inlineStr">
        <is>
          <t>Inéquations</t>
        </is>
      </c>
      <c r="G8" s="12" t="n"/>
      <c r="H8" s="12" t="inlineStr">
        <is>
          <t>Groupe 3: relatifs et puissances niveau 3</t>
        </is>
      </c>
      <c r="I8" s="12" t="n"/>
      <c r="J8" s="65" t="n"/>
      <c r="K8" s="65" t="n"/>
      <c r="L8" s="65" t="n"/>
    </row>
    <row r="9" ht="14.25" customHeight="1" s="61">
      <c r="A9" s="16">
        <f>A8+7</f>
        <v/>
      </c>
      <c r="B9" s="30" t="inlineStr">
        <is>
          <t>Vacances de la Toussaint</t>
        </is>
      </c>
      <c r="C9" s="30" t="n"/>
      <c r="D9" s="30" t="n"/>
      <c r="E9" s="30" t="n"/>
      <c r="F9" s="31" t="n"/>
      <c r="G9" s="31" t="n"/>
      <c r="H9" s="31" t="n"/>
      <c r="I9" s="31" t="n"/>
      <c r="J9" s="31" t="n"/>
      <c r="K9" s="32" t="n"/>
      <c r="L9" s="31" t="n"/>
    </row>
    <row r="10" ht="14.25" customHeight="1" s="61">
      <c r="A10" s="16">
        <f>A9+7</f>
        <v/>
      </c>
      <c r="B10" s="33" t="inlineStr">
        <is>
          <t>Vacances de la Toussaint</t>
        </is>
      </c>
      <c r="C10" s="33" t="n"/>
      <c r="D10" s="33" t="n"/>
      <c r="E10" s="33" t="n"/>
      <c r="F10" s="31" t="n"/>
      <c r="G10" s="31" t="n"/>
      <c r="H10" s="31" t="n"/>
      <c r="I10" s="31" t="n"/>
      <c r="J10" s="31" t="n"/>
      <c r="K10" s="31" t="n"/>
      <c r="L10" s="31" t="n"/>
    </row>
    <row r="11" ht="14.25" customHeight="1" s="61">
      <c r="A11" s="16">
        <f>A10+7</f>
        <v/>
      </c>
      <c r="B11" s="28" t="inlineStr">
        <is>
          <t>Ensemble de nombres</t>
        </is>
      </c>
      <c r="C11" s="68" t="inlineStr">
        <is>
          <t>Retour sur le contrôle.
Cours : sous-ensembles de R (N, Z, D, Q, R).
Ex. 9 (1re ligne).
Devoir : ex. 9 (fin).</t>
        </is>
      </c>
      <c r="D11" s="68" t="inlineStr">
        <is>
          <t>Cours : 1/3 n'est pas décimal (démonstration par l'absurde) ; racine de 2 irrationnel (admis) ; encadrement décimal.
Correction ex. 9, ex. 10 (encadrements).
Devoir : ex. 10 (fin des encadrements).</t>
        </is>
      </c>
      <c r="E11" s="69" t="inlineStr">
        <is>
          <t>Cours : arrondi, savoir-faire.
Ex. 10 (arrondis), ex. 11.
Devoir : relire le savoir-faire ; ex. 12 (facultatif).</t>
        </is>
      </c>
      <c r="F11" s="36" t="inlineStr">
        <is>
          <t>Problèmes de modélisations (inéquations et éq)</t>
        </is>
      </c>
      <c r="G11" s="36" t="n"/>
      <c r="H11" s="12" t="inlineStr">
        <is>
          <t>Groupe 1 et une partie du 2 : distributivité</t>
        </is>
      </c>
      <c r="I11" s="12" t="n"/>
      <c r="J11" s="44" t="inlineStr">
        <is>
          <t>Fractions</t>
        </is>
      </c>
      <c r="K11" s="12" t="inlineStr">
        <is>
          <t>Factorisation</t>
        </is>
      </c>
      <c r="L11" s="12" t="inlineStr">
        <is>
          <t>Vecteurs</t>
        </is>
      </c>
    </row>
    <row r="12" ht="14.25" customHeight="1" s="61">
      <c r="A12" s="16">
        <f>A11+7</f>
        <v/>
      </c>
      <c r="B12" s="70" t="inlineStr">
        <is>
          <t>Fonctions : généralités, résolution graphique</t>
        </is>
      </c>
      <c r="C12" s="71" t="inlineStr">
        <is>
          <t>Ch3 Fonctions.
Activité 1 (température, club de sport).
Cours I : notion de fonction.
Devoir : ex. 2, q. 1.</t>
        </is>
      </c>
      <c r="D12" s="71" t="inlineStr">
        <is>
          <t>Cours II : courbe représentative, lecture d'images et d'antécédents, tracé, appartenance d'un point.
Ex. 1, ex. 3 (q. 1-2).
Devoir : ex. 2, q. 2 ; ex. 3 (q. 3-4).</t>
        </is>
      </c>
      <c r="E12" s="71" t="inlineStr">
        <is>
          <t>Cours III : résolution graphique de f(x) = k et f(x) &lt; k.
Ex. 6 (q. 1-2), ex. 5 (q. 1-3).
Devoir : ex. 5 (q. 4-5), ex. 4.</t>
        </is>
      </c>
      <c r="F12" s="10" t="inlineStr">
        <is>
          <t>Racine carrée (calculs et simplifications)</t>
        </is>
      </c>
      <c r="G12" s="12" t="n"/>
      <c r="H12" s="12" t="inlineStr">
        <is>
          <t>Groupe 3: proportions niveau 3</t>
        </is>
      </c>
      <c r="I12" s="12" t="n"/>
      <c r="J12" s="65" t="n"/>
      <c r="K12" s="65" t="n"/>
      <c r="L12" s="65" t="n"/>
    </row>
    <row r="13" ht="14.25" customHeight="1" s="61">
      <c r="A13" s="16">
        <f>A12+7</f>
        <v/>
      </c>
      <c r="B13" s="70" t="inlineStr">
        <is>
          <t>Fonctions : généralités (sommatif jeu. 19/11), puis Vecteurs partie 2 (ven. 20/11)</t>
        </is>
      </c>
      <c r="C13" s="71" t="inlineStr">
        <is>
          <t>Contrôle formatif A/B (15 min).
Cours IV : f(x) = g(x), f(x) &lt; g(x).
Ex. 7, ex. 8.
Devoir : ex. 9 (q. 1-4), réviser le savoir-faire.</t>
        </is>
      </c>
      <c r="D13" s="71" t="inlineStr">
        <is>
          <t>Contrôle sommatif Ch3 (1 h).</t>
        </is>
      </c>
      <c r="E13" s="72" t="inlineStr">
        <is>
          <t>Ch4 Vecteurs dans un repère.
Activité 1 (carte au trésor).
Cours 1-2 : repère, coordonnées d'un vecteur.
Devoir : lecture de coordonnées.</t>
        </is>
      </c>
      <c r="F13" s="12" t="inlineStr">
        <is>
          <t>Racine carrée (calculs et simplifications)</t>
        </is>
      </c>
      <c r="G13" s="12" t="n"/>
      <c r="H13" s="12" t="inlineStr">
        <is>
          <t>Groupe 2: proportions niveau 2</t>
        </is>
      </c>
      <c r="I13" s="12" t="n"/>
      <c r="J13" s="44" t="inlineStr">
        <is>
          <t>Racines carrées</t>
        </is>
      </c>
      <c r="K13" s="73" t="inlineStr">
        <is>
          <t>Inéquations</t>
        </is>
      </c>
      <c r="L13" s="44" t="inlineStr">
        <is>
          <t>Proportions</t>
        </is>
      </c>
    </row>
    <row r="14" ht="14.25" customHeight="1" s="61">
      <c r="A14" s="16">
        <f>A13+7</f>
        <v/>
      </c>
      <c r="B14" s="21" t="inlineStr">
        <is>
          <t>Vecteurs partie 2</t>
        </is>
      </c>
      <c r="C14" s="74" t="inlineStr">
        <is>
          <t>Cours 2 : coordonnées de AB, égalité de vecteurs, parallélogramme.
Exercices : feuille à faire (ancienne feuille, ex. 1 et 2).</t>
        </is>
      </c>
      <c r="D14" s="74" t="inlineStr">
        <is>
          <t>Cours 3 : norme, distance, nature d'un triangle.
Exercices : ancienne feuille, ex. 3.</t>
        </is>
      </c>
      <c r="E14" s="74" t="inlineStr">
        <is>
          <t>Cours 4 : milieu, symétrique, parallélogramme par les diagonales.
Exercices : ancienne feuille, ex. 4 à 6.</t>
        </is>
      </c>
      <c r="F14" s="10" t="inlineStr">
        <is>
          <t>Calculs en repère (distances avec racines carrées, milieux)</t>
        </is>
      </c>
      <c r="G14" s="12" t="n"/>
      <c r="H14" s="12" t="inlineStr">
        <is>
          <t>Groupe 2: proportions niveau 2</t>
        </is>
      </c>
      <c r="I14" s="12" t="n"/>
      <c r="J14" s="65" t="n"/>
      <c r="K14" s="65" t="n"/>
      <c r="L14" s="65" t="n"/>
    </row>
    <row r="15" ht="14.25" customHeight="1" s="61">
      <c r="A15" s="16">
        <f>A14+7</f>
        <v/>
      </c>
      <c r="B15" s="75" t="inlineStr">
        <is>
          <t>Vecteurs partie 2</t>
        </is>
      </c>
      <c r="C15" s="76" t="inlineStr">
        <is>
          <t>Contrôle formatif A/B (15 min).
Cours 5 : somme de vecteurs.
Exercices : ancienne feuille, ex. 7 q. 1.</t>
        </is>
      </c>
      <c r="D15" s="76" t="inlineStr">
        <is>
          <t>Cours 6 : produit par un réel (construction, puis coordonnées).
Exercices : ancienne feuille, ex. 7 q. 2 et ex. 9.</t>
        </is>
      </c>
      <c r="E15" s="76" t="inlineStr">
        <is>
          <t>Synthèse : activité 2 (géométrie dans le plan).
Évaluation à décider (sommatif ou devoir commun).</t>
        </is>
      </c>
      <c r="F15" s="24" t="inlineStr">
        <is>
          <t>Révision devoir commmun</t>
        </is>
      </c>
      <c r="G15" s="12" t="n"/>
      <c r="H15" s="40" t="inlineStr">
        <is>
          <t>Révisions DC sur base volontariat</t>
        </is>
      </c>
      <c r="I15" s="40" t="n"/>
      <c r="J15" s="44" t="inlineStr">
        <is>
          <t>Ordre de grandeur</t>
        </is>
      </c>
      <c r="K15" s="12" t="inlineStr">
        <is>
          <t>Identités rem</t>
        </is>
      </c>
      <c r="L15" s="44" t="inlineStr">
        <is>
          <t>Exploiter une courbe</t>
        </is>
      </c>
    </row>
    <row r="16" ht="14.25" customHeight="1" s="61">
      <c r="A16" s="16">
        <f>A15+7</f>
        <v/>
      </c>
      <c r="B16" s="41" t="inlineStr">
        <is>
          <t>Devoir commun et Fonctions : variations et signes</t>
        </is>
      </c>
      <c r="C16" s="77" t="inlineStr">
        <is>
          <t>Variations et signes : séance à préparer.
(Devoir commun cette semaine, jour à préciser.)</t>
        </is>
      </c>
      <c r="D16" s="77" t="inlineStr">
        <is>
          <t>Variations et signes : séance à préparer.
(Devoir commun cette semaine, jour à préciser.)</t>
        </is>
      </c>
      <c r="E16" s="77" t="inlineStr">
        <is>
          <t>Variations et signes : séance à préparer.
(Devoir commun cette semaine, jour à préciser.)</t>
        </is>
      </c>
      <c r="F16" s="43" t="inlineStr">
        <is>
          <t>Fonction carrée + équations x²=a</t>
        </is>
      </c>
      <c r="G16" s="12" t="n"/>
      <c r="H16" s="12" t="inlineStr">
        <is>
          <t>Groupe 1: proportions niveau 1</t>
        </is>
      </c>
      <c r="I16" s="12" t="n"/>
      <c r="J16" s="65" t="n"/>
      <c r="K16" s="65" t="n"/>
      <c r="L16" s="65" t="n"/>
    </row>
    <row r="17" ht="14.25" customHeight="1" s="61">
      <c r="A17" s="16">
        <f>A16+7</f>
        <v/>
      </c>
      <c r="B17" s="43" t="inlineStr">
        <is>
          <t>Fonctions : Variations et signes</t>
        </is>
      </c>
      <c r="C17" s="78" t="inlineStr">
        <is>
          <t>Variations et signes : séance à préparer.</t>
        </is>
      </c>
      <c r="D17" s="78" t="inlineStr">
        <is>
          <t>Variations et signes : séance à préparer.</t>
        </is>
      </c>
      <c r="E17" s="78" t="inlineStr">
        <is>
          <t>Variations et signes : séance à préparer.</t>
        </is>
      </c>
      <c r="F17" s="43" t="inlineStr">
        <is>
          <t>Fonction carrée + équations x²=a</t>
        </is>
      </c>
      <c r="G17" s="43" t="n"/>
      <c r="H17" s="12" t="inlineStr">
        <is>
          <t>Groupe 1: proportions niveau 1</t>
        </is>
      </c>
      <c r="I17" s="12" t="n"/>
      <c r="J17" s="44" t="inlineStr">
        <is>
          <t>Histogrammes, diagrammes etc</t>
        </is>
      </c>
      <c r="K17" s="23" t="inlineStr">
        <is>
          <t>Isoler variable</t>
        </is>
      </c>
      <c r="L17" s="12" t="inlineStr">
        <is>
          <t>Trigo</t>
        </is>
      </c>
    </row>
    <row r="18" ht="14.25" customHeight="1" s="61">
      <c r="A18" s="16">
        <f>A17+7</f>
        <v/>
      </c>
      <c r="B18" s="33" t="inlineStr">
        <is>
          <t>Vacances de Noël</t>
        </is>
      </c>
      <c r="C18" s="33" t="n"/>
      <c r="D18" s="33" t="n"/>
      <c r="E18" s="33" t="n"/>
      <c r="F18" s="45" t="n"/>
      <c r="G18" s="45" t="n"/>
      <c r="H18" s="45" t="n"/>
      <c r="I18" s="45" t="n"/>
      <c r="J18" s="31" t="n"/>
      <c r="K18" s="31" t="n"/>
      <c r="L18" s="31" t="n"/>
    </row>
    <row r="19" ht="14.25" customHeight="1" s="61">
      <c r="A19" s="16">
        <f>A18+7</f>
        <v/>
      </c>
      <c r="B19" s="33" t="inlineStr">
        <is>
          <t>Vacances de Noël</t>
        </is>
      </c>
      <c r="C19" s="33" t="n"/>
      <c r="D19" s="33" t="n"/>
      <c r="E19" s="33" t="n"/>
      <c r="F19" s="45" t="n"/>
      <c r="G19" s="45" t="n"/>
      <c r="H19" s="45" t="n"/>
      <c r="I19" s="45" t="n"/>
      <c r="J19" s="31" t="n"/>
      <c r="K19" s="31" t="n"/>
      <c r="L19" s="31" t="n"/>
    </row>
    <row r="20" ht="14.25" customHeight="1" s="61">
      <c r="A20" s="16">
        <f>A19+7</f>
        <v/>
      </c>
      <c r="B20" s="46" t="inlineStr">
        <is>
          <t>Evolutions et tableaux croisés</t>
        </is>
      </c>
      <c r="C20" s="46" t="n"/>
      <c r="D20" s="46" t="n"/>
      <c r="E20" s="46" t="n"/>
      <c r="F20" s="43" t="inlineStr">
        <is>
          <t>Fonction carrée + équations x²=a</t>
        </is>
      </c>
      <c r="G20" s="39" t="n"/>
      <c r="H20" s="36" t="inlineStr">
        <is>
          <t>Groupe 2: calculs en géométrie</t>
        </is>
      </c>
      <c r="I20" s="36" t="n"/>
      <c r="J20" s="44" t="inlineStr">
        <is>
          <t>Histogrammes, diagrammes etc</t>
        </is>
      </c>
      <c r="K20" s="23" t="inlineStr">
        <is>
          <t>Isoler variable</t>
        </is>
      </c>
      <c r="L20" s="12" t="inlineStr">
        <is>
          <t>a/x=b</t>
        </is>
      </c>
    </row>
    <row r="21" ht="14.25" customHeight="1" s="61">
      <c r="A21" s="16">
        <f>A20+7</f>
        <v/>
      </c>
      <c r="B21" s="46" t="inlineStr">
        <is>
          <t>Evolutions et tableaux croisés</t>
        </is>
      </c>
      <c r="C21" s="46" t="n"/>
      <c r="D21" s="46" t="n"/>
      <c r="E21" s="46" t="n"/>
      <c r="F21" s="43" t="inlineStr">
        <is>
          <t>Fonction carrée + équations x²=a</t>
        </is>
      </c>
      <c r="G21" s="43" t="n"/>
      <c r="H21" s="12" t="inlineStr">
        <is>
          <t>ski</t>
        </is>
      </c>
      <c r="I21" s="12" t="n"/>
      <c r="J21" s="12" t="inlineStr">
        <is>
          <t>Puissances</t>
        </is>
      </c>
      <c r="K21" s="12" t="inlineStr">
        <is>
          <t>Identités rem</t>
        </is>
      </c>
      <c r="L21" s="44" t="inlineStr">
        <is>
          <t>Résolution graph éq/inéq</t>
        </is>
      </c>
    </row>
    <row r="22" ht="14.25" customHeight="1" s="61">
      <c r="A22" s="16">
        <f>A21+7</f>
        <v/>
      </c>
      <c r="B22" s="43" t="inlineStr">
        <is>
          <t>Fonctions affines</t>
        </is>
      </c>
      <c r="C22" s="43" t="n"/>
      <c r="D22" s="43" t="n"/>
      <c r="E22" s="43" t="n"/>
      <c r="F22" s="43" t="n"/>
      <c r="G22" s="43" t="n"/>
      <c r="H22" s="12" t="inlineStr">
        <is>
          <t>Groupe 2: calculs en géométrie</t>
        </is>
      </c>
      <c r="I22" s="12" t="n"/>
      <c r="J22" s="65" t="n"/>
      <c r="K22" s="65" t="n"/>
      <c r="L22" s="65" t="n"/>
    </row>
    <row r="23" ht="14.25" customHeight="1" s="61">
      <c r="A23" s="16">
        <f>A22+7</f>
        <v/>
      </c>
      <c r="B23" s="43" t="inlineStr">
        <is>
          <t>Fonctions affines</t>
        </is>
      </c>
      <c r="C23" s="47" t="n"/>
      <c r="D23" s="47" t="n"/>
      <c r="E23" s="47" t="n"/>
      <c r="F23" s="48" t="inlineStr">
        <is>
          <t>Tracer une droite</t>
        </is>
      </c>
      <c r="G23" s="48" t="n"/>
      <c r="H23" s="12" t="inlineStr">
        <is>
          <t>Groupe 3: calculs en géométrie</t>
        </is>
      </c>
      <c r="I23" s="12" t="n"/>
      <c r="J23" s="44" t="inlineStr">
        <is>
          <t>Comparaison nombre</t>
        </is>
      </c>
      <c r="K23" s="12" t="inlineStr">
        <is>
          <t>Factorisation</t>
        </is>
      </c>
      <c r="L23" s="44" t="inlineStr">
        <is>
          <t>Probabilités</t>
        </is>
      </c>
    </row>
    <row r="24" ht="14.25" customHeight="1" s="61">
      <c r="A24" s="16">
        <f>A23+7</f>
        <v/>
      </c>
      <c r="B24" s="43" t="inlineStr">
        <is>
          <t>Fonctions affines</t>
        </is>
      </c>
      <c r="C24" s="39" t="n"/>
      <c r="D24" s="39" t="n"/>
      <c r="E24" s="39" t="n"/>
      <c r="F24" s="36" t="inlineStr">
        <is>
          <t>Problèmes de modélisations (inéquations et éq)</t>
        </is>
      </c>
      <c r="G24" s="36" t="n"/>
      <c r="H24" s="12" t="inlineStr">
        <is>
          <t>Groupe 3: calculs en géométrie</t>
        </is>
      </c>
      <c r="I24" s="12" t="n"/>
      <c r="J24" s="65" t="n"/>
      <c r="K24" s="65" t="n"/>
      <c r="L24" s="65" t="n"/>
    </row>
    <row r="25" ht="14.25" customHeight="1" s="61">
      <c r="A25" s="16">
        <f>A24+7</f>
        <v/>
      </c>
      <c r="B25" s="33" t="inlineStr">
        <is>
          <t>Vacances d'hiver</t>
        </is>
      </c>
      <c r="C25" s="33" t="n"/>
      <c r="D25" s="33" t="n"/>
      <c r="E25" s="33" t="n"/>
      <c r="F25" s="49" t="n"/>
      <c r="G25" s="49" t="n"/>
      <c r="H25" s="49" t="n"/>
      <c r="I25" s="49" t="n"/>
      <c r="J25" s="31" t="n"/>
      <c r="K25" s="31" t="n"/>
      <c r="L25" s="31" t="n"/>
    </row>
    <row r="26" ht="14.25" customHeight="1" s="61">
      <c r="A26" s="16">
        <f>A25+7</f>
        <v/>
      </c>
      <c r="B26" s="33" t="inlineStr">
        <is>
          <t>Vacances d'hiver</t>
        </is>
      </c>
      <c r="C26" s="33" t="n"/>
      <c r="D26" s="33" t="n"/>
      <c r="E26" s="33" t="n"/>
      <c r="F26" s="33" t="n"/>
      <c r="G26" s="33" t="n"/>
      <c r="H26" s="33" t="n"/>
      <c r="I26" s="33" t="n"/>
      <c r="J26" s="31" t="n"/>
      <c r="K26" s="31" t="n"/>
      <c r="L26" s="31" t="n"/>
    </row>
    <row r="27" ht="14.25" customHeight="1" s="61">
      <c r="A27" s="16">
        <f>A26+7</f>
        <v/>
      </c>
      <c r="B27" s="9" t="inlineStr">
        <is>
          <t>Colinéarité</t>
        </is>
      </c>
      <c r="C27" s="9" t="n"/>
      <c r="D27" s="9" t="n"/>
      <c r="E27" s="9" t="n"/>
      <c r="F27" s="12" t="inlineStr">
        <is>
          <t>Equations produit nul/ quotient</t>
        </is>
      </c>
      <c r="G27" s="12" t="n"/>
      <c r="H27" s="12" t="inlineStr">
        <is>
          <t>Groupe 1: calculs en géométrie</t>
        </is>
      </c>
      <c r="I27" s="12" t="n"/>
      <c r="J27" s="44" t="inlineStr">
        <is>
          <t>Passer d'une écri à une aut</t>
        </is>
      </c>
      <c r="K27" s="79" t="inlineStr">
        <is>
          <t>x²=a</t>
        </is>
      </c>
      <c r="L27" s="44" t="inlineStr">
        <is>
          <t>Evolutions</t>
        </is>
      </c>
    </row>
    <row r="28" ht="14.25" customHeight="1" s="61">
      <c r="A28" s="16">
        <f>A27+7</f>
        <v/>
      </c>
      <c r="B28" s="46" t="inlineStr">
        <is>
          <t>Probabilités</t>
        </is>
      </c>
      <c r="C28" s="46" t="n"/>
      <c r="D28" s="46" t="n"/>
      <c r="E28" s="46" t="n"/>
      <c r="F28" s="12" t="inlineStr">
        <is>
          <t>Equations produit nul/ quotient</t>
        </is>
      </c>
      <c r="G28" s="12" t="n"/>
      <c r="H28" s="12" t="inlineStr">
        <is>
          <t>Groupe 1: calculs en géométrie</t>
        </is>
      </c>
      <c r="I28" s="12" t="n"/>
      <c r="J28" s="65" t="n"/>
      <c r="K28" s="65" t="n"/>
      <c r="L28" s="65" t="n"/>
    </row>
    <row r="29" ht="14.25" customHeight="1" s="61">
      <c r="A29" s="16">
        <f>A28+7</f>
        <v/>
      </c>
      <c r="B29" s="46" t="inlineStr">
        <is>
          <t>Probabilités</t>
        </is>
      </c>
      <c r="C29" s="46" t="n"/>
      <c r="D29" s="46" t="n"/>
      <c r="E29" s="46" t="n"/>
      <c r="F29" s="51" t="inlineStr">
        <is>
          <t>Fonction inverse</t>
        </is>
      </c>
      <c r="G29" s="51" t="n"/>
      <c r="H29" s="12" t="inlineStr">
        <is>
          <t>Groupe 3: systèmes</t>
        </is>
      </c>
      <c r="I29" s="12" t="n"/>
      <c r="J29" s="44" t="inlineStr">
        <is>
          <t>Fractions</t>
        </is>
      </c>
      <c r="K29" s="80" t="inlineStr">
        <is>
          <t>Equations produit nul</t>
        </is>
      </c>
      <c r="L29" s="44" t="inlineStr">
        <is>
          <t>Fct affines</t>
        </is>
      </c>
    </row>
    <row r="30" ht="14.25" customHeight="1" s="61">
      <c r="A30" s="16">
        <f>A29+7</f>
        <v/>
      </c>
      <c r="B30" s="46" t="inlineStr">
        <is>
          <t>Probabilités</t>
        </is>
      </c>
      <c r="C30" s="46" t="n"/>
      <c r="D30" s="46" t="n"/>
      <c r="E30" s="46" t="n"/>
      <c r="F30" s="51" t="inlineStr">
        <is>
          <t>Fonction inverse</t>
        </is>
      </c>
      <c r="G30" s="51" t="n"/>
      <c r="H30" s="12" t="inlineStr">
        <is>
          <t>Groupe 3: systèmes</t>
        </is>
      </c>
      <c r="I30" s="12" t="n"/>
      <c r="J30" s="65" t="n"/>
      <c r="K30" s="65" t="n"/>
      <c r="L30" s="65" t="n"/>
    </row>
    <row r="31" ht="14.25" customHeight="1" s="61">
      <c r="A31" s="16">
        <f>A30+7</f>
        <v/>
      </c>
      <c r="B31" s="9" t="inlineStr">
        <is>
          <t>Colinéarité et droites dans le plan</t>
        </is>
      </c>
      <c r="C31" s="9" t="n"/>
      <c r="D31" s="9" t="n"/>
      <c r="E31" s="9" t="n"/>
      <c r="F31" s="12" t="inlineStr">
        <is>
          <t>Tableau de signes produit et quotient</t>
        </is>
      </c>
      <c r="G31" s="12" t="n"/>
      <c r="H31" s="12" t="inlineStr">
        <is>
          <t>Groupe 2: remédiations vecteurs</t>
        </is>
      </c>
      <c r="I31" s="12" t="n"/>
      <c r="J31" s="44" t="inlineStr">
        <is>
          <t>Ordre de grandeur</t>
        </is>
      </c>
      <c r="K31" s="79" t="inlineStr">
        <is>
          <t>Calculs imag et ant formule</t>
        </is>
      </c>
      <c r="L31" s="44" t="inlineStr">
        <is>
          <t>Moyenne, médiane</t>
        </is>
      </c>
    </row>
    <row r="32" ht="14.25" customHeight="1" s="61">
      <c r="A32" s="16">
        <f>A31+7</f>
        <v/>
      </c>
      <c r="B32" s="9" t="inlineStr">
        <is>
          <t>Colinéarité et droites dans le plan</t>
        </is>
      </c>
      <c r="C32" s="9" t="n"/>
      <c r="D32" s="9" t="n"/>
      <c r="E32" s="9" t="n"/>
      <c r="F32" s="12" t="inlineStr">
        <is>
          <t>Tableau de signes produit et quotient</t>
        </is>
      </c>
      <c r="G32" s="12" t="n"/>
      <c r="H32" s="12" t="inlineStr">
        <is>
          <t>Groupe 1: remédiations vecteurs</t>
        </is>
      </c>
      <c r="I32" s="12" t="n"/>
      <c r="J32" s="65" t="n"/>
      <c r="K32" s="65" t="n"/>
      <c r="L32" s="65" t="n"/>
    </row>
    <row r="33" ht="14.25" customHeight="1" s="61">
      <c r="A33" s="16">
        <f>A32+7</f>
        <v/>
      </c>
      <c r="B33" s="33" t="inlineStr">
        <is>
          <t>Vacances de Pâques</t>
        </is>
      </c>
      <c r="C33" s="33" t="n"/>
      <c r="D33" s="33" t="n"/>
      <c r="E33" s="33" t="n"/>
      <c r="F33" s="33" t="n"/>
      <c r="G33" s="33" t="n"/>
      <c r="H33" s="33" t="n"/>
      <c r="I33" s="33" t="n"/>
      <c r="J33" s="31" t="n"/>
      <c r="K33" s="31" t="n"/>
      <c r="L33" s="31" t="n"/>
    </row>
    <row r="34" ht="14.25" customHeight="1" s="61">
      <c r="A34" s="16">
        <f>A33+7</f>
        <v/>
      </c>
      <c r="B34" s="33" t="inlineStr">
        <is>
          <t>Vacances de Pâques</t>
        </is>
      </c>
      <c r="C34" s="33" t="n"/>
      <c r="D34" s="33" t="n"/>
      <c r="E34" s="33" t="n"/>
      <c r="F34" s="49" t="n"/>
      <c r="G34" s="49" t="n"/>
      <c r="H34" s="49" t="n"/>
      <c r="I34" s="49" t="n"/>
      <c r="J34" s="31" t="n"/>
      <c r="K34" s="31" t="n"/>
      <c r="L34" s="31" t="n"/>
    </row>
    <row r="35" ht="14.25" customHeight="1" s="61">
      <c r="A35" s="16">
        <f>A34+7</f>
        <v/>
      </c>
      <c r="B35" s="9" t="inlineStr">
        <is>
          <t>Colinéarité et droites dans le plan</t>
        </is>
      </c>
      <c r="C35" s="9" t="n"/>
      <c r="D35" s="9" t="n"/>
      <c r="E35" s="9" t="n"/>
      <c r="F35" s="12" t="inlineStr">
        <is>
          <t>Tableau de signes produit et quotient</t>
        </is>
      </c>
      <c r="G35" s="12" t="n"/>
      <c r="H35" s="12" t="inlineStr">
        <is>
          <t>Groupe 3: exercices de recherches</t>
        </is>
      </c>
      <c r="I35" s="12" t="n"/>
      <c r="J35" s="44" t="inlineStr">
        <is>
          <t>Racines carrées</t>
        </is>
      </c>
      <c r="K35" s="44" t="inlineStr">
        <is>
          <t>Fonctions affines</t>
        </is>
      </c>
      <c r="L35" s="44" t="inlineStr">
        <is>
          <t>Calculs géométrie</t>
        </is>
      </c>
    </row>
    <row r="36" ht="14.25" customHeight="1" s="61">
      <c r="A36" s="16">
        <f>A35+7</f>
        <v/>
      </c>
      <c r="B36" s="46" t="inlineStr">
        <is>
          <t>Stats</t>
        </is>
      </c>
      <c r="C36" s="46" t="n"/>
      <c r="D36" s="46" t="n"/>
      <c r="E36" s="46" t="n"/>
      <c r="F36" s="51" t="inlineStr">
        <is>
          <t>Ensembles de définition</t>
        </is>
      </c>
      <c r="G36" s="51" t="n"/>
      <c r="H36" s="40" t="inlineStr">
        <is>
          <t>Révisions DC sur base volontariat</t>
        </is>
      </c>
      <c r="I36" s="40" t="n"/>
      <c r="J36" s="65" t="n"/>
      <c r="K36" s="65" t="n"/>
      <c r="L36" s="65" t="n"/>
    </row>
    <row r="37" ht="14.25" customHeight="1" s="61">
      <c r="A37" s="16">
        <f>A36+7</f>
        <v/>
      </c>
      <c r="B37" s="53" t="inlineStr">
        <is>
          <t>Devoir commun</t>
        </is>
      </c>
      <c r="C37" s="54" t="n"/>
      <c r="D37" s="54" t="n"/>
      <c r="E37" s="54" t="n"/>
      <c r="F37" s="12" t="inlineStr">
        <is>
          <t>Distance et valeur absolue</t>
        </is>
      </c>
      <c r="G37" s="12" t="n"/>
      <c r="H37" s="12" t="n"/>
      <c r="I37" s="12" t="n"/>
      <c r="J37" s="44" t="inlineStr">
        <is>
          <t>App num d'une formule</t>
        </is>
      </c>
      <c r="K37" s="44" t="inlineStr">
        <is>
          <t>Equations quotient</t>
        </is>
      </c>
      <c r="L37" s="44" t="inlineStr">
        <is>
          <t>Conversions</t>
        </is>
      </c>
    </row>
    <row r="38" ht="14.25" customHeight="1" s="61">
      <c r="A38" s="16">
        <f>A37+7</f>
        <v/>
      </c>
      <c r="B38" s="12" t="inlineStr">
        <is>
          <t>Stats</t>
        </is>
      </c>
      <c r="C38" s="12" t="n"/>
      <c r="D38" s="12" t="n"/>
      <c r="E38" s="12" t="n"/>
      <c r="F38" s="51" t="inlineStr">
        <is>
          <t>Fonction valeur absolue</t>
        </is>
      </c>
      <c r="G38" s="51" t="n"/>
      <c r="H38" s="12" t="n"/>
      <c r="I38" s="12" t="n"/>
      <c r="J38" s="65" t="n"/>
      <c r="K38" s="65" t="n"/>
      <c r="L38" s="65" t="n"/>
    </row>
    <row r="39" ht="14.25" customHeight="1" s="61">
      <c r="A39" s="16">
        <f>A38+7</f>
        <v/>
      </c>
      <c r="B39" s="46" t="inlineStr">
        <is>
          <t>Arithmétique</t>
        </is>
      </c>
      <c r="C39" s="46" t="n"/>
      <c r="D39" s="46" t="n"/>
      <c r="E39" s="46" t="n"/>
      <c r="F39" s="12" t="n"/>
      <c r="G39" s="12" t="n"/>
      <c r="H39" s="12" t="n"/>
      <c r="I39" s="12" t="n"/>
      <c r="J39" s="12" t="n"/>
      <c r="K39" s="12" t="n"/>
      <c r="L39" s="12" t="n"/>
    </row>
    <row r="40" ht="14.25" customHeight="1" s="61">
      <c r="A40" s="16">
        <f>A39+7</f>
        <v/>
      </c>
      <c r="B40" s="46" t="inlineStr">
        <is>
          <t>Arithmétique</t>
        </is>
      </c>
      <c r="C40" s="46" t="n"/>
      <c r="D40" s="46" t="n"/>
      <c r="E40" s="46" t="n"/>
      <c r="F40" s="12" t="n"/>
      <c r="G40" s="12" t="n"/>
      <c r="H40" s="12" t="n"/>
      <c r="I40" s="12" t="n"/>
      <c r="J40" s="12" t="n"/>
      <c r="K40" s="12" t="n"/>
      <c r="L40" s="12" t="n"/>
    </row>
    <row r="41" ht="14.25" customHeight="1" s="61">
      <c r="A41" s="16">
        <f>A40+7</f>
        <v/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</row>
    <row r="42" ht="14.25" customHeight="1" s="61">
      <c r="A42" s="16">
        <f>A41+7</f>
        <v/>
      </c>
      <c r="B42" s="56" t="inlineStr">
        <is>
          <t>Fin des cours</t>
        </is>
      </c>
      <c r="C42" s="56" t="n"/>
      <c r="D42" s="56" t="n"/>
      <c r="E42" s="56" t="n"/>
      <c r="F42" s="57" t="n"/>
      <c r="G42" s="57" t="n"/>
      <c r="H42" s="57" t="n"/>
      <c r="I42" s="57" t="n"/>
      <c r="J42" s="57" t="n"/>
      <c r="K42" s="57" t="n"/>
      <c r="L42" s="57" t="n"/>
    </row>
    <row r="43" ht="14.25" customHeight="1" s="61">
      <c r="A43" s="48" t="n"/>
      <c r="B43" s="48" t="n"/>
      <c r="C43" s="48" t="n"/>
      <c r="D43" s="48" t="n"/>
      <c r="E43" s="48" t="n"/>
      <c r="F43" s="58" t="n"/>
      <c r="G43" s="58" t="n"/>
      <c r="H43" s="58" t="n"/>
      <c r="I43" s="58" t="n"/>
    </row>
    <row r="44" ht="14.25" customHeight="1" s="61">
      <c r="A44" s="48" t="n"/>
      <c r="B44" s="48" t="n"/>
      <c r="C44" s="48" t="n"/>
      <c r="D44" s="48" t="n"/>
      <c r="E44" s="48" t="n"/>
      <c r="F44" s="58" t="n"/>
      <c r="G44" s="58" t="n"/>
      <c r="H44" s="58" t="n"/>
      <c r="I44" s="58" t="n"/>
    </row>
    <row r="45" ht="14.25" customHeight="1" s="61"/>
    <row r="46" ht="14.25" customHeight="1" s="61"/>
    <row r="47" ht="14.25" customHeight="1" s="61"/>
    <row r="48" ht="14.25" customHeight="1" s="61"/>
    <row r="49" ht="14.25" customHeight="1" s="61"/>
    <row r="50" ht="14.25" customHeight="1" s="61"/>
    <row r="51" ht="14.25" customHeight="1" s="61"/>
    <row r="52" ht="14.25" customHeight="1" s="61"/>
    <row r="53" ht="14.25" customHeight="1" s="61"/>
    <row r="54" ht="14.25" customHeight="1" s="61"/>
    <row r="55" ht="14.25" customHeight="1" s="61"/>
    <row r="56" ht="14.25" customHeight="1" s="61"/>
    <row r="57" ht="14.25" customHeight="1" s="61"/>
    <row r="58" ht="14.25" customHeight="1" s="61"/>
    <row r="59" ht="14.25" customHeight="1" s="61"/>
    <row r="60" ht="14.25" customHeight="1" s="61"/>
    <row r="61" ht="14.25" customHeight="1" s="61"/>
    <row r="62" ht="14.25" customHeight="1" s="61"/>
    <row r="63" ht="14.25" customHeight="1" s="61"/>
    <row r="64" ht="14.25" customHeight="1" s="61"/>
    <row r="65" ht="14.25" customHeight="1" s="61"/>
    <row r="66" ht="14.25" customHeight="1" s="61"/>
    <row r="67" ht="14.25" customHeight="1" s="61"/>
    <row r="68" ht="14.25" customHeight="1" s="61"/>
    <row r="69" ht="14.25" customHeight="1" s="61"/>
    <row r="70" ht="14.25" customHeight="1" s="61"/>
    <row r="71" ht="14.25" customHeight="1" s="61"/>
    <row r="72" ht="14.25" customHeight="1" s="61"/>
    <row r="73" ht="14.25" customHeight="1" s="61"/>
    <row r="74" ht="14.25" customHeight="1" s="61"/>
    <row r="75" ht="14.25" customHeight="1" s="61"/>
    <row r="76" ht="14.25" customHeight="1" s="61"/>
    <row r="77" ht="14.25" customHeight="1" s="61"/>
    <row r="78" ht="14.25" customHeight="1" s="61"/>
    <row r="79" ht="14.25" customHeight="1" s="61"/>
    <row r="80" ht="14.25" customHeight="1" s="61"/>
    <row r="81" ht="14.25" customHeight="1" s="61"/>
    <row r="82" ht="14.25" customHeight="1" s="61"/>
    <row r="83" ht="14.25" customHeight="1" s="61"/>
    <row r="84" ht="14.25" customHeight="1" s="61"/>
    <row r="85" ht="14.25" customHeight="1" s="61"/>
    <row r="86" ht="14.25" customHeight="1" s="61"/>
    <row r="87" ht="14.25" customHeight="1" s="61"/>
    <row r="88" ht="14.25" customHeight="1" s="61"/>
    <row r="89" ht="14.25" customHeight="1" s="61"/>
    <row r="90" ht="14.25" customHeight="1" s="61"/>
    <row r="91" ht="14.25" customHeight="1" s="61"/>
    <row r="92" ht="14.25" customHeight="1" s="61"/>
    <row r="93" ht="14.25" customHeight="1" s="61"/>
    <row r="94" ht="14.25" customHeight="1" s="61"/>
    <row r="95" ht="14.25" customHeight="1" s="61"/>
    <row r="96" ht="14.25" customHeight="1" s="61"/>
    <row r="97" ht="14.25" customHeight="1" s="61"/>
    <row r="98" ht="14.25" customHeight="1" s="61"/>
    <row r="99" ht="14.25" customHeight="1" s="61"/>
    <row r="100" ht="14.25" customHeight="1" s="61"/>
    <row r="101" ht="14.25" customHeight="1" s="61"/>
    <row r="102" ht="14.25" customHeight="1" s="61"/>
    <row r="103" ht="14.25" customHeight="1" s="61"/>
    <row r="104" ht="14.25" customHeight="1" s="61"/>
    <row r="105" ht="14.25" customHeight="1" s="61"/>
    <row r="106" ht="14.25" customHeight="1" s="61"/>
    <row r="107" ht="14.25" customHeight="1" s="61"/>
    <row r="108" ht="14.25" customHeight="1" s="61"/>
    <row r="109" ht="14.25" customHeight="1" s="61"/>
    <row r="110" ht="14.25" customHeight="1" s="61"/>
    <row r="111" ht="14.25" customHeight="1" s="61"/>
    <row r="112" ht="14.25" customHeight="1" s="61"/>
    <row r="113" ht="14.25" customHeight="1" s="61"/>
    <row r="114" ht="14.25" customHeight="1" s="61"/>
    <row r="115" ht="14.25" customHeight="1" s="61"/>
    <row r="116" ht="14.25" customHeight="1" s="61"/>
    <row r="117" ht="14.25" customHeight="1" s="61"/>
    <row r="118" ht="14.25" customHeight="1" s="61"/>
    <row r="119" ht="14.25" customHeight="1" s="61"/>
    <row r="120" ht="14.25" customHeight="1" s="61"/>
    <row r="121" ht="14.25" customHeight="1" s="61"/>
    <row r="122" ht="14.25" customHeight="1" s="61"/>
    <row r="123" ht="14.25" customHeight="1" s="61"/>
    <row r="124" ht="14.25" customHeight="1" s="61"/>
    <row r="125" ht="14.25" customHeight="1" s="61"/>
    <row r="126" ht="14.25" customHeight="1" s="61"/>
    <row r="127" ht="14.25" customHeight="1" s="61"/>
    <row r="128" ht="14.25" customHeight="1" s="61"/>
    <row r="129" ht="14.25" customHeight="1" s="61"/>
    <row r="130" ht="14.25" customHeight="1" s="61"/>
    <row r="131" ht="14.25" customHeight="1" s="61"/>
    <row r="132" ht="14.25" customHeight="1" s="61"/>
    <row r="133" ht="14.25" customHeight="1" s="61"/>
    <row r="134" ht="14.25" customHeight="1" s="61"/>
    <row r="135" ht="14.25" customHeight="1" s="61"/>
    <row r="136" ht="14.25" customHeight="1" s="61"/>
    <row r="137" ht="14.25" customHeight="1" s="61"/>
    <row r="138" ht="14.25" customHeight="1" s="61"/>
    <row r="139" ht="14.25" customHeight="1" s="61"/>
    <row r="140" ht="14.25" customHeight="1" s="61"/>
    <row r="141" ht="14.25" customHeight="1" s="61"/>
    <row r="142" ht="14.25" customHeight="1" s="61"/>
    <row r="143" ht="14.25" customHeight="1" s="61"/>
    <row r="144" ht="14.25" customHeight="1" s="61"/>
    <row r="145" ht="14.25" customHeight="1" s="61"/>
    <row r="146" ht="14.25" customHeight="1" s="61"/>
    <row r="147" ht="14.25" customHeight="1" s="61"/>
    <row r="148" ht="14.25" customHeight="1" s="61"/>
    <row r="149" ht="14.25" customHeight="1" s="61"/>
    <row r="150" ht="14.25" customHeight="1" s="61"/>
    <row r="151" ht="14.25" customHeight="1" s="61"/>
    <row r="152" ht="14.25" customHeight="1" s="61"/>
    <row r="153" ht="14.25" customHeight="1" s="61"/>
    <row r="154" ht="14.25" customHeight="1" s="61"/>
    <row r="155" ht="14.25" customHeight="1" s="61"/>
    <row r="156" ht="14.25" customHeight="1" s="61"/>
    <row r="157" ht="14.25" customHeight="1" s="61"/>
    <row r="158" ht="14.25" customHeight="1" s="61"/>
    <row r="159" ht="14.25" customHeight="1" s="61"/>
    <row r="160" ht="14.25" customHeight="1" s="61"/>
    <row r="161" ht="14.25" customHeight="1" s="61"/>
    <row r="162" ht="14.25" customHeight="1" s="61"/>
    <row r="163" ht="14.25" customHeight="1" s="61"/>
    <row r="164" ht="14.25" customHeight="1" s="61"/>
    <row r="165" ht="14.25" customHeight="1" s="61"/>
    <row r="166" ht="14.25" customHeight="1" s="61"/>
    <row r="167" ht="14.25" customHeight="1" s="61"/>
    <row r="168" ht="14.25" customHeight="1" s="61"/>
    <row r="169" ht="14.25" customHeight="1" s="61"/>
    <row r="170" ht="14.25" customHeight="1" s="61"/>
    <row r="171" ht="14.25" customHeight="1" s="61"/>
    <row r="172" ht="14.25" customHeight="1" s="61"/>
    <row r="173" ht="14.25" customHeight="1" s="61"/>
    <row r="174" ht="14.25" customHeight="1" s="61"/>
    <row r="175" ht="14.25" customHeight="1" s="61"/>
    <row r="176" ht="14.25" customHeight="1" s="61"/>
    <row r="177" ht="14.25" customHeight="1" s="61"/>
    <row r="178" ht="14.25" customHeight="1" s="61"/>
    <row r="179" ht="14.25" customHeight="1" s="61"/>
    <row r="180" ht="14.25" customHeight="1" s="61"/>
    <row r="181" ht="14.25" customHeight="1" s="61"/>
    <row r="182" ht="14.25" customHeight="1" s="61"/>
    <row r="183" ht="14.25" customHeight="1" s="61"/>
    <row r="184" ht="14.25" customHeight="1" s="61"/>
    <row r="185" ht="14.25" customHeight="1" s="61"/>
    <row r="186" ht="14.25" customHeight="1" s="61"/>
    <row r="187" ht="14.25" customHeight="1" s="61"/>
    <row r="188" ht="14.25" customHeight="1" s="61"/>
    <row r="189" ht="14.25" customHeight="1" s="61"/>
    <row r="190" ht="14.25" customHeight="1" s="61"/>
    <row r="191" ht="14.25" customHeight="1" s="61"/>
    <row r="192" ht="14.25" customHeight="1" s="61"/>
    <row r="193" ht="14.25" customHeight="1" s="61"/>
    <row r="194" ht="14.25" customHeight="1" s="61"/>
    <row r="195" ht="14.25" customHeight="1" s="61"/>
    <row r="196" ht="14.25" customHeight="1" s="61"/>
    <row r="197" ht="14.25" customHeight="1" s="61"/>
    <row r="198" ht="14.25" customHeight="1" s="61"/>
    <row r="199" ht="14.25" customHeight="1" s="61"/>
    <row r="200" ht="14.25" customHeight="1" s="61"/>
    <row r="201" ht="14.25" customHeight="1" s="61"/>
    <row r="202" ht="14.25" customHeight="1" s="61"/>
    <row r="203" ht="14.25" customHeight="1" s="61"/>
    <row r="204" ht="14.25" customHeight="1" s="61"/>
    <row r="205" ht="14.25" customHeight="1" s="61"/>
    <row r="206" ht="14.25" customHeight="1" s="61"/>
    <row r="207" ht="14.25" customHeight="1" s="61"/>
    <row r="208" ht="14.25" customHeight="1" s="61"/>
    <row r="209" ht="14.25" customHeight="1" s="61"/>
    <row r="210" ht="14.25" customHeight="1" s="61"/>
    <row r="211" ht="14.25" customHeight="1" s="61"/>
    <row r="212" ht="14.25" customHeight="1" s="61"/>
    <row r="213" ht="14.25" customHeight="1" s="61"/>
    <row r="214" ht="14.25" customHeight="1" s="61"/>
    <row r="215" ht="14.25" customHeight="1" s="61"/>
    <row r="216" ht="14.25" customHeight="1" s="61"/>
    <row r="217" ht="14.25" customHeight="1" s="61"/>
    <row r="218" ht="14.25" customHeight="1" s="61"/>
    <row r="219" ht="14.25" customHeight="1" s="61"/>
    <row r="220" ht="14.25" customHeight="1" s="61"/>
    <row r="221" ht="14.25" customHeight="1" s="61"/>
    <row r="222" ht="14.25" customHeight="1" s="61"/>
    <row r="223" ht="14.25" customHeight="1" s="61"/>
    <row r="224" ht="14.25" customHeight="1" s="61"/>
    <row r="225" ht="14.25" customHeight="1" s="61"/>
    <row r="226" ht="14.25" customHeight="1" s="61"/>
    <row r="227" ht="14.25" customHeight="1" s="61"/>
    <row r="228" ht="14.25" customHeight="1" s="61"/>
    <row r="229" ht="14.25" customHeight="1" s="61"/>
    <row r="230" ht="14.25" customHeight="1" s="61"/>
    <row r="231" ht="14.25" customHeight="1" s="61"/>
    <row r="232" ht="14.25" customHeight="1" s="61"/>
    <row r="233" ht="14.25" customHeight="1" s="61"/>
    <row r="234" ht="14.25" customHeight="1" s="61"/>
    <row r="235" ht="14.25" customHeight="1" s="61"/>
    <row r="236" ht="14.25" customHeight="1" s="61"/>
    <row r="237" ht="14.25" customHeight="1" s="61"/>
    <row r="238" ht="14.25" customHeight="1" s="61"/>
    <row r="239" ht="14.25" customHeight="1" s="61"/>
    <row r="240" ht="14.25" customHeight="1" s="61"/>
    <row r="241" ht="14.25" customHeight="1" s="61"/>
    <row r="242" ht="14.25" customHeight="1" s="61"/>
    <row r="243" ht="14.25" customHeight="1" s="61"/>
    <row r="244" ht="14.25" customHeight="1" s="61"/>
    <row r="245" ht="14.25" customHeight="1" s="61"/>
    <row r="246" ht="14.25" customHeight="1" s="61"/>
    <row r="247" ht="14.25" customHeight="1" s="61"/>
    <row r="248" ht="14.25" customHeight="1" s="61"/>
    <row r="249" ht="14.25" customHeight="1" s="61"/>
    <row r="250" ht="14.25" customHeight="1" s="61"/>
    <row r="251" ht="14.25" customHeight="1" s="61"/>
    <row r="252" ht="14.25" customHeight="1" s="61"/>
    <row r="253" ht="14.25" customHeight="1" s="61"/>
    <row r="254" ht="14.25" customHeight="1" s="61"/>
    <row r="255" ht="14.25" customHeight="1" s="61"/>
    <row r="256" ht="14.25" customHeight="1" s="61"/>
    <row r="257" ht="14.25" customHeight="1" s="61"/>
    <row r="258" ht="14.25" customHeight="1" s="61"/>
    <row r="259" ht="14.25" customHeight="1" s="61"/>
    <row r="260" ht="14.25" customHeight="1" s="61"/>
    <row r="261" ht="14.25" customHeight="1" s="61"/>
    <row r="262" ht="14.25" customHeight="1" s="61"/>
    <row r="263" ht="14.25" customHeight="1" s="61"/>
    <row r="264" ht="14.25" customHeight="1" s="61"/>
    <row r="265" ht="14.25" customHeight="1" s="61"/>
    <row r="266" ht="14.25" customHeight="1" s="61"/>
    <row r="267" ht="14.25" customHeight="1" s="61"/>
    <row r="268" ht="14.25" customHeight="1" s="61"/>
    <row r="269" ht="14.25" customHeight="1" s="61"/>
    <row r="270" ht="14.25" customHeight="1" s="61"/>
    <row r="271" ht="14.25" customHeight="1" s="61"/>
    <row r="272" ht="14.25" customHeight="1" s="61"/>
    <row r="273" ht="14.25" customHeight="1" s="61"/>
    <row r="274" ht="14.25" customHeight="1" s="61"/>
    <row r="275" ht="14.25" customHeight="1" s="61"/>
    <row r="276" ht="14.25" customHeight="1" s="61"/>
    <row r="277" ht="14.25" customHeight="1" s="61"/>
    <row r="278" ht="14.25" customHeight="1" s="61"/>
    <row r="279" ht="14.25" customHeight="1" s="61"/>
    <row r="280" ht="14.25" customHeight="1" s="61"/>
    <row r="281" ht="14.25" customHeight="1" s="61"/>
    <row r="282" ht="14.25" customHeight="1" s="61"/>
    <row r="283" ht="14.25" customHeight="1" s="61"/>
    <row r="284" ht="14.25" customHeight="1" s="61"/>
    <row r="285" ht="14.25" customHeight="1" s="61"/>
    <row r="286" ht="14.25" customHeight="1" s="61"/>
    <row r="287" ht="14.25" customHeight="1" s="61"/>
    <row r="288" ht="14.25" customHeight="1" s="61"/>
    <row r="289" ht="14.25" customHeight="1" s="61"/>
    <row r="290" ht="14.25" customHeight="1" s="61"/>
    <row r="291" ht="14.25" customHeight="1" s="61"/>
    <row r="292" ht="14.25" customHeight="1" s="61"/>
    <row r="293" ht="14.25" customHeight="1" s="61"/>
    <row r="294" ht="14.25" customHeight="1" s="61"/>
    <row r="295" ht="14.25" customHeight="1" s="61"/>
    <row r="296" ht="14.25" customHeight="1" s="61"/>
    <row r="297" ht="14.25" customHeight="1" s="61"/>
    <row r="298" ht="14.25" customHeight="1" s="61"/>
    <row r="299" ht="14.25" customHeight="1" s="61"/>
    <row r="300" ht="14.25" customHeight="1" s="61"/>
    <row r="301" ht="14.25" customHeight="1" s="61"/>
    <row r="302" ht="14.25" customHeight="1" s="61"/>
    <row r="303" ht="14.25" customHeight="1" s="61"/>
    <row r="304" ht="14.25" customHeight="1" s="61"/>
    <row r="305" ht="14.25" customHeight="1" s="61"/>
    <row r="306" ht="14.25" customHeight="1" s="61"/>
    <row r="307" ht="14.25" customHeight="1" s="61"/>
    <row r="308" ht="14.25" customHeight="1" s="61"/>
    <row r="309" ht="14.25" customHeight="1" s="61"/>
    <row r="310" ht="14.25" customHeight="1" s="61"/>
    <row r="311" ht="14.25" customHeight="1" s="61"/>
    <row r="312" ht="14.25" customHeight="1" s="61"/>
    <row r="313" ht="14.25" customHeight="1" s="61"/>
    <row r="314" ht="14.25" customHeight="1" s="61"/>
    <row r="315" ht="14.25" customHeight="1" s="61"/>
    <row r="316" ht="14.25" customHeight="1" s="61"/>
    <row r="317" ht="14.25" customHeight="1" s="61"/>
    <row r="318" ht="14.25" customHeight="1" s="61"/>
    <row r="319" ht="14.25" customHeight="1" s="61"/>
    <row r="320" ht="14.25" customHeight="1" s="61"/>
    <row r="321" ht="14.25" customHeight="1" s="61"/>
    <row r="322" ht="14.25" customHeight="1" s="61"/>
    <row r="323" ht="14.25" customHeight="1" s="61"/>
    <row r="324" ht="14.25" customHeight="1" s="61"/>
    <row r="325" ht="14.25" customHeight="1" s="61"/>
    <row r="326" ht="14.25" customHeight="1" s="61"/>
    <row r="327" ht="14.25" customHeight="1" s="61"/>
    <row r="328" ht="14.25" customHeight="1" s="61"/>
    <row r="329" ht="14.25" customHeight="1" s="61"/>
    <row r="330" ht="14.25" customHeight="1" s="61"/>
    <row r="331" ht="14.25" customHeight="1" s="61"/>
    <row r="332" ht="14.25" customHeight="1" s="61"/>
    <row r="333" ht="14.25" customHeight="1" s="61"/>
    <row r="334" ht="14.25" customHeight="1" s="61"/>
    <row r="335" ht="14.25" customHeight="1" s="61"/>
    <row r="336" ht="14.25" customHeight="1" s="61"/>
    <row r="337" ht="14.25" customHeight="1" s="61"/>
    <row r="338" ht="14.25" customHeight="1" s="61"/>
    <row r="339" ht="14.25" customHeight="1" s="61"/>
    <row r="340" ht="14.25" customHeight="1" s="61"/>
    <row r="341" ht="14.25" customHeight="1" s="61"/>
    <row r="342" ht="14.25" customHeight="1" s="61"/>
    <row r="343" ht="14.25" customHeight="1" s="61"/>
    <row r="344" ht="14.25" customHeight="1" s="61"/>
    <row r="345" ht="14.25" customHeight="1" s="61"/>
    <row r="346" ht="14.25" customHeight="1" s="61"/>
    <row r="347" ht="14.25" customHeight="1" s="61"/>
    <row r="348" ht="14.25" customHeight="1" s="61"/>
    <row r="349" ht="14.25" customHeight="1" s="61"/>
    <row r="350" ht="14.25" customHeight="1" s="61"/>
    <row r="351" ht="14.25" customHeight="1" s="61"/>
    <row r="352" ht="14.25" customHeight="1" s="61"/>
    <row r="353" ht="14.25" customHeight="1" s="61"/>
    <row r="354" ht="14.25" customHeight="1" s="61"/>
    <row r="355" ht="14.25" customHeight="1" s="61"/>
    <row r="356" ht="14.25" customHeight="1" s="61"/>
    <row r="357" ht="14.25" customHeight="1" s="61"/>
    <row r="358" ht="14.25" customHeight="1" s="61"/>
    <row r="359" ht="14.25" customHeight="1" s="61"/>
    <row r="360" ht="14.25" customHeight="1" s="61"/>
    <row r="361" ht="14.25" customHeight="1" s="61"/>
    <row r="362" ht="14.25" customHeight="1" s="61"/>
    <row r="363" ht="14.25" customHeight="1" s="61"/>
    <row r="364" ht="14.25" customHeight="1" s="61"/>
    <row r="365" ht="14.25" customHeight="1" s="61"/>
    <row r="366" ht="14.25" customHeight="1" s="61"/>
    <row r="367" ht="14.25" customHeight="1" s="61"/>
    <row r="368" ht="14.25" customHeight="1" s="61"/>
    <row r="369" ht="14.25" customHeight="1" s="61"/>
    <row r="370" ht="14.25" customHeight="1" s="61"/>
    <row r="371" ht="14.25" customHeight="1" s="61"/>
    <row r="372" ht="14.25" customHeight="1" s="61"/>
    <row r="373" ht="14.25" customHeight="1" s="61"/>
    <row r="374" ht="14.25" customHeight="1" s="61"/>
    <row r="375" ht="14.25" customHeight="1" s="61"/>
    <row r="376" ht="14.25" customHeight="1" s="61"/>
    <row r="377" ht="14.25" customHeight="1" s="61"/>
    <row r="378" ht="14.25" customHeight="1" s="61"/>
    <row r="379" ht="14.25" customHeight="1" s="61"/>
    <row r="380" ht="14.25" customHeight="1" s="61"/>
    <row r="381" ht="14.25" customHeight="1" s="61"/>
    <row r="382" ht="14.25" customHeight="1" s="61"/>
    <row r="383" ht="14.25" customHeight="1" s="61"/>
    <row r="384" ht="14.25" customHeight="1" s="61"/>
    <row r="385" ht="14.25" customHeight="1" s="61"/>
    <row r="386" ht="14.25" customHeight="1" s="61"/>
    <row r="387" ht="14.25" customHeight="1" s="61"/>
    <row r="388" ht="14.25" customHeight="1" s="61"/>
    <row r="389" ht="14.25" customHeight="1" s="61"/>
    <row r="390" ht="14.25" customHeight="1" s="61"/>
    <row r="391" ht="14.25" customHeight="1" s="61"/>
    <row r="392" ht="14.25" customHeight="1" s="61"/>
    <row r="393" ht="14.25" customHeight="1" s="61"/>
    <row r="394" ht="14.25" customHeight="1" s="61"/>
    <row r="395" ht="14.25" customHeight="1" s="61"/>
    <row r="396" ht="14.25" customHeight="1" s="61"/>
    <row r="397" ht="14.25" customHeight="1" s="61"/>
    <row r="398" ht="14.25" customHeight="1" s="61"/>
    <row r="399" ht="14.25" customHeight="1" s="61"/>
    <row r="400" ht="14.25" customHeight="1" s="61"/>
    <row r="401" ht="14.25" customHeight="1" s="61"/>
    <row r="402" ht="14.25" customHeight="1" s="61"/>
    <row r="403" ht="14.25" customHeight="1" s="61"/>
    <row r="404" ht="14.25" customHeight="1" s="61"/>
    <row r="405" ht="14.25" customHeight="1" s="61"/>
    <row r="406" ht="14.25" customHeight="1" s="61"/>
    <row r="407" ht="14.25" customHeight="1" s="61"/>
    <row r="408" ht="14.25" customHeight="1" s="61"/>
    <row r="409" ht="14.25" customHeight="1" s="61"/>
    <row r="410" ht="14.25" customHeight="1" s="61"/>
    <row r="411" ht="14.25" customHeight="1" s="61"/>
    <row r="412" ht="14.25" customHeight="1" s="61"/>
    <row r="413" ht="14.25" customHeight="1" s="61"/>
    <row r="414" ht="14.25" customHeight="1" s="61"/>
    <row r="415" ht="14.25" customHeight="1" s="61"/>
    <row r="416" ht="14.25" customHeight="1" s="61"/>
    <row r="417" ht="14.25" customHeight="1" s="61"/>
    <row r="418" ht="14.25" customHeight="1" s="61"/>
    <row r="419" ht="14.25" customHeight="1" s="61"/>
    <row r="420" ht="14.25" customHeight="1" s="61"/>
    <row r="421" ht="14.25" customHeight="1" s="61"/>
    <row r="422" ht="14.25" customHeight="1" s="61"/>
    <row r="423" ht="14.25" customHeight="1" s="61"/>
    <row r="424" ht="14.25" customHeight="1" s="61"/>
    <row r="425" ht="14.25" customHeight="1" s="61"/>
    <row r="426" ht="14.25" customHeight="1" s="61"/>
    <row r="427" ht="14.25" customHeight="1" s="61"/>
    <row r="428" ht="14.25" customHeight="1" s="61"/>
    <row r="429" ht="14.25" customHeight="1" s="61"/>
    <row r="430" ht="14.25" customHeight="1" s="61"/>
    <row r="431" ht="14.25" customHeight="1" s="61"/>
    <row r="432" ht="14.25" customHeight="1" s="61"/>
    <row r="433" ht="14.25" customHeight="1" s="61"/>
    <row r="434" ht="14.25" customHeight="1" s="61"/>
    <row r="435" ht="14.25" customHeight="1" s="61"/>
    <row r="436" ht="14.25" customHeight="1" s="61"/>
    <row r="437" ht="14.25" customHeight="1" s="61"/>
    <row r="438" ht="14.25" customHeight="1" s="61"/>
    <row r="439" ht="14.25" customHeight="1" s="61"/>
    <row r="440" ht="14.25" customHeight="1" s="61"/>
    <row r="441" ht="14.25" customHeight="1" s="61"/>
    <row r="442" ht="14.25" customHeight="1" s="61"/>
    <row r="443" ht="14.25" customHeight="1" s="61"/>
    <row r="444" ht="14.25" customHeight="1" s="61"/>
    <row r="445" ht="14.25" customHeight="1" s="61"/>
    <row r="446" ht="14.25" customHeight="1" s="61"/>
    <row r="447" ht="14.25" customHeight="1" s="61"/>
    <row r="448" ht="14.25" customHeight="1" s="61"/>
    <row r="449" ht="14.25" customHeight="1" s="61"/>
    <row r="450" ht="14.25" customHeight="1" s="61"/>
    <row r="451" ht="14.25" customHeight="1" s="61"/>
    <row r="452" ht="14.25" customHeight="1" s="61"/>
    <row r="453" ht="14.25" customHeight="1" s="61"/>
    <row r="454" ht="14.25" customHeight="1" s="61"/>
    <row r="455" ht="14.25" customHeight="1" s="61"/>
    <row r="456" ht="14.25" customHeight="1" s="61"/>
    <row r="457" ht="14.25" customHeight="1" s="61"/>
    <row r="458" ht="14.25" customHeight="1" s="61"/>
    <row r="459" ht="14.25" customHeight="1" s="61"/>
    <row r="460" ht="14.25" customHeight="1" s="61"/>
    <row r="461" ht="14.25" customHeight="1" s="61"/>
    <row r="462" ht="14.25" customHeight="1" s="61"/>
    <row r="463" ht="14.25" customHeight="1" s="61"/>
    <row r="464" ht="14.25" customHeight="1" s="61"/>
    <row r="465" ht="14.25" customHeight="1" s="61"/>
    <row r="466" ht="14.25" customHeight="1" s="61"/>
    <row r="467" ht="14.25" customHeight="1" s="61"/>
    <row r="468" ht="14.25" customHeight="1" s="61"/>
    <row r="469" ht="14.25" customHeight="1" s="61"/>
    <row r="470" ht="14.25" customHeight="1" s="61"/>
    <row r="471" ht="14.25" customHeight="1" s="61"/>
    <row r="472" ht="14.25" customHeight="1" s="61"/>
    <row r="473" ht="14.25" customHeight="1" s="61"/>
    <row r="474" ht="14.25" customHeight="1" s="61"/>
    <row r="475" ht="14.25" customHeight="1" s="61"/>
    <row r="476" ht="14.25" customHeight="1" s="61"/>
    <row r="477" ht="14.25" customHeight="1" s="61"/>
    <row r="478" ht="14.25" customHeight="1" s="61"/>
    <row r="479" ht="14.25" customHeight="1" s="61"/>
    <row r="480" ht="14.25" customHeight="1" s="61"/>
    <row r="481" ht="14.25" customHeight="1" s="61"/>
    <row r="482" ht="14.25" customHeight="1" s="61"/>
    <row r="483" ht="14.25" customHeight="1" s="61"/>
    <row r="484" ht="14.25" customHeight="1" s="61"/>
    <row r="485" ht="14.25" customHeight="1" s="61"/>
    <row r="486" ht="14.25" customHeight="1" s="61"/>
    <row r="487" ht="14.25" customHeight="1" s="61"/>
    <row r="488" ht="14.25" customHeight="1" s="61"/>
    <row r="489" ht="14.25" customHeight="1" s="61"/>
    <row r="490" ht="14.25" customHeight="1" s="61"/>
    <row r="491" ht="14.25" customHeight="1" s="61"/>
    <row r="492" ht="14.25" customHeight="1" s="61"/>
    <row r="493" ht="14.25" customHeight="1" s="61"/>
    <row r="494" ht="14.25" customHeight="1" s="61"/>
    <row r="495" ht="14.25" customHeight="1" s="61"/>
    <row r="496" ht="14.25" customHeight="1" s="61"/>
    <row r="497" ht="14.25" customHeight="1" s="61"/>
    <row r="498" ht="14.25" customHeight="1" s="61"/>
    <row r="499" ht="14.25" customHeight="1" s="61"/>
    <row r="500" ht="14.25" customHeight="1" s="61"/>
    <row r="501" ht="14.25" customHeight="1" s="61"/>
    <row r="502" ht="14.25" customHeight="1" s="61"/>
    <row r="503" ht="14.25" customHeight="1" s="61"/>
    <row r="504" ht="14.25" customHeight="1" s="61"/>
    <row r="505" ht="14.25" customHeight="1" s="61"/>
    <row r="506" ht="14.25" customHeight="1" s="61"/>
    <row r="507" ht="14.25" customHeight="1" s="61"/>
    <row r="508" ht="14.25" customHeight="1" s="61"/>
    <row r="509" ht="14.25" customHeight="1" s="61"/>
    <row r="510" ht="14.25" customHeight="1" s="61"/>
    <row r="511" ht="14.25" customHeight="1" s="61"/>
    <row r="512" ht="14.25" customHeight="1" s="61"/>
    <row r="513" ht="14.25" customHeight="1" s="61"/>
    <row r="514" ht="14.25" customHeight="1" s="61"/>
    <row r="515" ht="14.25" customHeight="1" s="61"/>
    <row r="516" ht="14.25" customHeight="1" s="61"/>
    <row r="517" ht="14.25" customHeight="1" s="61"/>
    <row r="518" ht="14.25" customHeight="1" s="61"/>
    <row r="519" ht="14.25" customHeight="1" s="61"/>
    <row r="520" ht="14.25" customHeight="1" s="61"/>
    <row r="521" ht="14.25" customHeight="1" s="61"/>
    <row r="522" ht="14.25" customHeight="1" s="61"/>
    <row r="523" ht="14.25" customHeight="1" s="61"/>
    <row r="524" ht="14.25" customHeight="1" s="61"/>
    <row r="525" ht="14.25" customHeight="1" s="61"/>
    <row r="526" ht="14.25" customHeight="1" s="61"/>
    <row r="527" ht="14.25" customHeight="1" s="61"/>
    <row r="528" ht="14.25" customHeight="1" s="61"/>
    <row r="529" ht="14.25" customHeight="1" s="61"/>
    <row r="530" ht="14.25" customHeight="1" s="61"/>
    <row r="531" ht="14.25" customHeight="1" s="61"/>
    <row r="532" ht="14.25" customHeight="1" s="61"/>
    <row r="533" ht="14.25" customHeight="1" s="61"/>
    <row r="534" ht="14.25" customHeight="1" s="61"/>
    <row r="535" ht="14.25" customHeight="1" s="61"/>
    <row r="536" ht="14.25" customHeight="1" s="61"/>
    <row r="537" ht="14.25" customHeight="1" s="61"/>
    <row r="538" ht="14.25" customHeight="1" s="61"/>
    <row r="539" ht="14.25" customHeight="1" s="61"/>
    <row r="540" ht="14.25" customHeight="1" s="61"/>
    <row r="541" ht="14.25" customHeight="1" s="61"/>
    <row r="542" ht="14.25" customHeight="1" s="61"/>
    <row r="543" ht="14.25" customHeight="1" s="61"/>
    <row r="544" ht="14.25" customHeight="1" s="61"/>
    <row r="545" ht="14.25" customHeight="1" s="61"/>
    <row r="546" ht="14.25" customHeight="1" s="61"/>
    <row r="547" ht="14.25" customHeight="1" s="61"/>
    <row r="548" ht="14.25" customHeight="1" s="61"/>
    <row r="549" ht="14.25" customHeight="1" s="61"/>
    <row r="550" ht="14.25" customHeight="1" s="61"/>
    <row r="551" ht="14.25" customHeight="1" s="61"/>
    <row r="552" ht="14.25" customHeight="1" s="61"/>
    <row r="553" ht="14.25" customHeight="1" s="61"/>
    <row r="554" ht="14.25" customHeight="1" s="61"/>
    <row r="555" ht="14.25" customHeight="1" s="61"/>
    <row r="556" ht="14.25" customHeight="1" s="61"/>
    <row r="557" ht="14.25" customHeight="1" s="61"/>
    <row r="558" ht="14.25" customHeight="1" s="61"/>
    <row r="559" ht="14.25" customHeight="1" s="61"/>
    <row r="560" ht="14.25" customHeight="1" s="61"/>
    <row r="561" ht="14.25" customHeight="1" s="61"/>
    <row r="562" ht="14.25" customHeight="1" s="61"/>
    <row r="563" ht="14.25" customHeight="1" s="61"/>
    <row r="564" ht="14.25" customHeight="1" s="61"/>
    <row r="565" ht="14.25" customHeight="1" s="61"/>
    <row r="566" ht="14.25" customHeight="1" s="61"/>
    <row r="567" ht="14.25" customHeight="1" s="61"/>
    <row r="568" ht="14.25" customHeight="1" s="61"/>
    <row r="569" ht="14.25" customHeight="1" s="61"/>
    <row r="570" ht="14.25" customHeight="1" s="61"/>
    <row r="571" ht="14.25" customHeight="1" s="61"/>
    <row r="572" ht="14.25" customHeight="1" s="61"/>
    <row r="573" ht="14.25" customHeight="1" s="61"/>
    <row r="574" ht="14.25" customHeight="1" s="61"/>
    <row r="575" ht="14.25" customHeight="1" s="61"/>
    <row r="576" ht="14.25" customHeight="1" s="61"/>
    <row r="577" ht="14.25" customHeight="1" s="61"/>
    <row r="578" ht="14.25" customHeight="1" s="61"/>
    <row r="579" ht="14.25" customHeight="1" s="61"/>
    <row r="580" ht="14.25" customHeight="1" s="61"/>
    <row r="581" ht="14.25" customHeight="1" s="61"/>
    <row r="582" ht="14.25" customHeight="1" s="61"/>
    <row r="583" ht="14.25" customHeight="1" s="61"/>
    <row r="584" ht="14.25" customHeight="1" s="61"/>
    <row r="585" ht="14.25" customHeight="1" s="61"/>
    <row r="586" ht="14.25" customHeight="1" s="61"/>
    <row r="587" ht="14.25" customHeight="1" s="61"/>
    <row r="588" ht="14.25" customHeight="1" s="61"/>
    <row r="589" ht="14.25" customHeight="1" s="61"/>
    <row r="590" ht="14.25" customHeight="1" s="61"/>
    <row r="591" ht="14.25" customHeight="1" s="61"/>
    <row r="592" ht="14.25" customHeight="1" s="61"/>
    <row r="593" ht="14.25" customHeight="1" s="61"/>
    <row r="594" ht="14.25" customHeight="1" s="61"/>
    <row r="595" ht="14.25" customHeight="1" s="61"/>
    <row r="596" ht="14.25" customHeight="1" s="61"/>
    <row r="597" ht="14.25" customHeight="1" s="61"/>
    <row r="598" ht="14.25" customHeight="1" s="61"/>
    <row r="599" ht="14.25" customHeight="1" s="61"/>
    <row r="600" ht="14.25" customHeight="1" s="61"/>
    <row r="601" ht="14.25" customHeight="1" s="61"/>
    <row r="602" ht="14.25" customHeight="1" s="61"/>
    <row r="603" ht="14.25" customHeight="1" s="61"/>
    <row r="604" ht="14.25" customHeight="1" s="61"/>
    <row r="605" ht="14.25" customHeight="1" s="61"/>
    <row r="606" ht="14.25" customHeight="1" s="61"/>
    <row r="607" ht="14.25" customHeight="1" s="61"/>
    <row r="608" ht="14.25" customHeight="1" s="61"/>
    <row r="609" ht="14.25" customHeight="1" s="61"/>
    <row r="610" ht="14.25" customHeight="1" s="61"/>
    <row r="611" ht="14.25" customHeight="1" s="61"/>
    <row r="612" ht="14.25" customHeight="1" s="61"/>
    <row r="613" ht="14.25" customHeight="1" s="61"/>
    <row r="614" ht="14.25" customHeight="1" s="61"/>
    <row r="615" ht="14.25" customHeight="1" s="61"/>
    <row r="616" ht="14.25" customHeight="1" s="61"/>
    <row r="617" ht="14.25" customHeight="1" s="61"/>
    <row r="618" ht="14.25" customHeight="1" s="61"/>
    <row r="619" ht="14.25" customHeight="1" s="61"/>
    <row r="620" ht="14.25" customHeight="1" s="61"/>
    <row r="621" ht="14.25" customHeight="1" s="61"/>
    <row r="622" ht="14.25" customHeight="1" s="61"/>
    <row r="623" ht="14.25" customHeight="1" s="61"/>
    <row r="624" ht="14.25" customHeight="1" s="61"/>
    <row r="625" ht="14.25" customHeight="1" s="61"/>
    <row r="626" ht="14.25" customHeight="1" s="61"/>
    <row r="627" ht="14.25" customHeight="1" s="61"/>
    <row r="628" ht="14.25" customHeight="1" s="61"/>
    <row r="629" ht="14.25" customHeight="1" s="61"/>
    <row r="630" ht="14.25" customHeight="1" s="61"/>
    <row r="631" ht="14.25" customHeight="1" s="61"/>
    <row r="632" ht="14.25" customHeight="1" s="61"/>
    <row r="633" ht="14.25" customHeight="1" s="61"/>
    <row r="634" ht="14.25" customHeight="1" s="61"/>
    <row r="635" ht="14.25" customHeight="1" s="61"/>
    <row r="636" ht="14.25" customHeight="1" s="61"/>
    <row r="637" ht="14.25" customHeight="1" s="61"/>
    <row r="638" ht="14.25" customHeight="1" s="61"/>
    <row r="639" ht="14.25" customHeight="1" s="61"/>
    <row r="640" ht="14.25" customHeight="1" s="61"/>
    <row r="641" ht="14.25" customHeight="1" s="61"/>
    <row r="642" ht="14.25" customHeight="1" s="61"/>
    <row r="643" ht="14.25" customHeight="1" s="61"/>
    <row r="644" ht="14.25" customHeight="1" s="61"/>
    <row r="645" ht="14.25" customHeight="1" s="61"/>
    <row r="646" ht="14.25" customHeight="1" s="61"/>
    <row r="647" ht="14.25" customHeight="1" s="61"/>
    <row r="648" ht="14.25" customHeight="1" s="61"/>
    <row r="649" ht="14.25" customHeight="1" s="61"/>
    <row r="650" ht="14.25" customHeight="1" s="61"/>
    <row r="651" ht="14.25" customHeight="1" s="61"/>
    <row r="652" ht="14.25" customHeight="1" s="61"/>
    <row r="653" ht="14.25" customHeight="1" s="61"/>
    <row r="654" ht="14.25" customHeight="1" s="61"/>
    <row r="655" ht="14.25" customHeight="1" s="61"/>
    <row r="656" ht="14.25" customHeight="1" s="61"/>
    <row r="657" ht="14.25" customHeight="1" s="61"/>
    <row r="658" ht="14.25" customHeight="1" s="61"/>
    <row r="659" ht="14.25" customHeight="1" s="61"/>
    <row r="660" ht="14.25" customHeight="1" s="61"/>
    <row r="661" ht="14.25" customHeight="1" s="61"/>
    <row r="662" ht="14.25" customHeight="1" s="61"/>
    <row r="663" ht="14.25" customHeight="1" s="61"/>
    <row r="664" ht="14.25" customHeight="1" s="61"/>
    <row r="665" ht="14.25" customHeight="1" s="61"/>
    <row r="666" ht="14.25" customHeight="1" s="61"/>
    <row r="667" ht="14.25" customHeight="1" s="61"/>
    <row r="668" ht="14.25" customHeight="1" s="61"/>
    <row r="669" ht="14.25" customHeight="1" s="61"/>
    <row r="670" ht="14.25" customHeight="1" s="61"/>
    <row r="671" ht="14.25" customHeight="1" s="61"/>
    <row r="672" ht="14.25" customHeight="1" s="61"/>
    <row r="673" ht="14.25" customHeight="1" s="61"/>
    <row r="674" ht="14.25" customHeight="1" s="61"/>
    <row r="675" ht="14.25" customHeight="1" s="61"/>
    <row r="676" ht="14.25" customHeight="1" s="61"/>
    <row r="677" ht="14.25" customHeight="1" s="61"/>
    <row r="678" ht="14.25" customHeight="1" s="61"/>
    <row r="679" ht="14.25" customHeight="1" s="61"/>
    <row r="680" ht="14.25" customHeight="1" s="61"/>
    <row r="681" ht="14.25" customHeight="1" s="61"/>
    <row r="682" ht="14.25" customHeight="1" s="61"/>
    <row r="683" ht="14.25" customHeight="1" s="61"/>
    <row r="684" ht="14.25" customHeight="1" s="61"/>
    <row r="685" ht="14.25" customHeight="1" s="61"/>
    <row r="686" ht="14.25" customHeight="1" s="61"/>
    <row r="687" ht="14.25" customHeight="1" s="61"/>
    <row r="688" ht="14.25" customHeight="1" s="61"/>
    <row r="689" ht="14.25" customHeight="1" s="61"/>
    <row r="690" ht="14.25" customHeight="1" s="61"/>
    <row r="691" ht="14.25" customHeight="1" s="61"/>
    <row r="692" ht="14.25" customHeight="1" s="61"/>
    <row r="693" ht="14.25" customHeight="1" s="61"/>
    <row r="694" ht="14.25" customHeight="1" s="61"/>
    <row r="695" ht="14.25" customHeight="1" s="61"/>
    <row r="696" ht="14.25" customHeight="1" s="61"/>
    <row r="697" ht="14.25" customHeight="1" s="61"/>
    <row r="698" ht="14.25" customHeight="1" s="61"/>
    <row r="699" ht="14.25" customHeight="1" s="61"/>
    <row r="700" ht="14.25" customHeight="1" s="61"/>
    <row r="701" ht="14.25" customHeight="1" s="61"/>
    <row r="702" ht="14.25" customHeight="1" s="61"/>
    <row r="703" ht="14.25" customHeight="1" s="61"/>
    <row r="704" ht="14.25" customHeight="1" s="61"/>
    <row r="705" ht="14.25" customHeight="1" s="61"/>
    <row r="706" ht="14.25" customHeight="1" s="61"/>
    <row r="707" ht="14.25" customHeight="1" s="61"/>
    <row r="708" ht="14.25" customHeight="1" s="61"/>
    <row r="709" ht="14.25" customHeight="1" s="61"/>
    <row r="710" ht="14.25" customHeight="1" s="61"/>
    <row r="711" ht="14.25" customHeight="1" s="61"/>
    <row r="712" ht="14.25" customHeight="1" s="61"/>
    <row r="713" ht="14.25" customHeight="1" s="61"/>
    <row r="714" ht="14.25" customHeight="1" s="61"/>
    <row r="715" ht="14.25" customHeight="1" s="61"/>
    <row r="716" ht="14.25" customHeight="1" s="61"/>
    <row r="717" ht="14.25" customHeight="1" s="61"/>
    <row r="718" ht="14.25" customHeight="1" s="61"/>
    <row r="719" ht="14.25" customHeight="1" s="61"/>
    <row r="720" ht="14.25" customHeight="1" s="61"/>
    <row r="721" ht="14.25" customHeight="1" s="61"/>
    <row r="722" ht="14.25" customHeight="1" s="61"/>
    <row r="723" ht="14.25" customHeight="1" s="61"/>
    <row r="724" ht="14.25" customHeight="1" s="61"/>
    <row r="725" ht="14.25" customHeight="1" s="61"/>
    <row r="726" ht="14.25" customHeight="1" s="61"/>
    <row r="727" ht="14.25" customHeight="1" s="61"/>
    <row r="728" ht="14.25" customHeight="1" s="61"/>
    <row r="729" ht="14.25" customHeight="1" s="61"/>
    <row r="730" ht="14.25" customHeight="1" s="61"/>
    <row r="731" ht="14.25" customHeight="1" s="61"/>
    <row r="732" ht="14.25" customHeight="1" s="61"/>
    <row r="733" ht="14.25" customHeight="1" s="61"/>
    <row r="734" ht="14.25" customHeight="1" s="61"/>
    <row r="735" ht="14.25" customHeight="1" s="61"/>
    <row r="736" ht="14.25" customHeight="1" s="61"/>
    <row r="737" ht="14.25" customHeight="1" s="61"/>
    <row r="738" ht="14.25" customHeight="1" s="61"/>
    <row r="739" ht="14.25" customHeight="1" s="61"/>
    <row r="740" ht="14.25" customHeight="1" s="61"/>
    <row r="741" ht="14.25" customHeight="1" s="61"/>
    <row r="742" ht="14.25" customHeight="1" s="61"/>
    <row r="743" ht="14.25" customHeight="1" s="61"/>
    <row r="744" ht="14.25" customHeight="1" s="61"/>
    <row r="745" ht="14.25" customHeight="1" s="61"/>
    <row r="746" ht="14.25" customHeight="1" s="61"/>
    <row r="747" ht="14.25" customHeight="1" s="61"/>
    <row r="748" ht="14.25" customHeight="1" s="61"/>
    <row r="749" ht="14.25" customHeight="1" s="61"/>
    <row r="750" ht="14.25" customHeight="1" s="61"/>
    <row r="751" ht="14.25" customHeight="1" s="61"/>
    <row r="752" ht="14.25" customHeight="1" s="61"/>
    <row r="753" ht="14.25" customHeight="1" s="61"/>
    <row r="754" ht="14.25" customHeight="1" s="61"/>
    <row r="755" ht="14.25" customHeight="1" s="61"/>
    <row r="756" ht="14.25" customHeight="1" s="61"/>
    <row r="757" ht="14.25" customHeight="1" s="61"/>
    <row r="758" ht="14.25" customHeight="1" s="61"/>
    <row r="759" ht="14.25" customHeight="1" s="61"/>
    <row r="760" ht="14.25" customHeight="1" s="61"/>
    <row r="761" ht="14.25" customHeight="1" s="61"/>
    <row r="762" ht="14.25" customHeight="1" s="61"/>
    <row r="763" ht="14.25" customHeight="1" s="61"/>
    <row r="764" ht="14.25" customHeight="1" s="61"/>
    <row r="765" ht="14.25" customHeight="1" s="61"/>
    <row r="766" ht="14.25" customHeight="1" s="61"/>
    <row r="767" ht="14.25" customHeight="1" s="61"/>
    <row r="768" ht="14.25" customHeight="1" s="61"/>
    <row r="769" ht="14.25" customHeight="1" s="61"/>
    <row r="770" ht="14.25" customHeight="1" s="61"/>
    <row r="771" ht="14.25" customHeight="1" s="61"/>
    <row r="772" ht="14.25" customHeight="1" s="61"/>
    <row r="773" ht="14.25" customHeight="1" s="61"/>
    <row r="774" ht="14.25" customHeight="1" s="61"/>
    <row r="775" ht="14.25" customHeight="1" s="61"/>
    <row r="776" ht="14.25" customHeight="1" s="61"/>
    <row r="777" ht="14.25" customHeight="1" s="61"/>
    <row r="778" ht="14.25" customHeight="1" s="61"/>
    <row r="779" ht="14.25" customHeight="1" s="61"/>
    <row r="780" ht="14.25" customHeight="1" s="61"/>
    <row r="781" ht="14.25" customHeight="1" s="61"/>
    <row r="782" ht="14.25" customHeight="1" s="61"/>
    <row r="783" ht="14.25" customHeight="1" s="61"/>
    <row r="784" ht="14.25" customHeight="1" s="61"/>
    <row r="785" ht="14.25" customHeight="1" s="61"/>
    <row r="786" ht="14.25" customHeight="1" s="61"/>
    <row r="787" ht="14.25" customHeight="1" s="61"/>
    <row r="788" ht="14.25" customHeight="1" s="61"/>
    <row r="789" ht="14.25" customHeight="1" s="61"/>
    <row r="790" ht="14.25" customHeight="1" s="61"/>
    <row r="791" ht="14.25" customHeight="1" s="61"/>
    <row r="792" ht="14.25" customHeight="1" s="61"/>
    <row r="793" ht="14.25" customHeight="1" s="61"/>
    <row r="794" ht="14.25" customHeight="1" s="61"/>
    <row r="795" ht="14.25" customHeight="1" s="61"/>
    <row r="796" ht="14.25" customHeight="1" s="61"/>
    <row r="797" ht="14.25" customHeight="1" s="61"/>
    <row r="798" ht="14.25" customHeight="1" s="61"/>
    <row r="799" ht="14.25" customHeight="1" s="61"/>
    <row r="800" ht="14.25" customHeight="1" s="61"/>
    <row r="801" ht="14.25" customHeight="1" s="61"/>
    <row r="802" ht="14.25" customHeight="1" s="61"/>
    <row r="803" ht="14.25" customHeight="1" s="61"/>
    <row r="804" ht="14.25" customHeight="1" s="61"/>
    <row r="805" ht="14.25" customHeight="1" s="61"/>
    <row r="806" ht="14.25" customHeight="1" s="61"/>
    <row r="807" ht="14.25" customHeight="1" s="61"/>
    <row r="808" ht="14.25" customHeight="1" s="61"/>
    <row r="809" ht="14.25" customHeight="1" s="61"/>
    <row r="810" ht="14.25" customHeight="1" s="61"/>
    <row r="811" ht="14.25" customHeight="1" s="61"/>
    <row r="812" ht="14.25" customHeight="1" s="61"/>
    <row r="813" ht="14.25" customHeight="1" s="61"/>
    <row r="814" ht="14.25" customHeight="1" s="61"/>
    <row r="815" ht="14.25" customHeight="1" s="61"/>
    <row r="816" ht="14.25" customHeight="1" s="61"/>
    <row r="817" ht="14.25" customHeight="1" s="61"/>
    <row r="818" ht="14.25" customHeight="1" s="61"/>
    <row r="819" ht="14.25" customHeight="1" s="61"/>
    <row r="820" ht="14.25" customHeight="1" s="61"/>
    <row r="821" ht="14.25" customHeight="1" s="61"/>
    <row r="822" ht="14.25" customHeight="1" s="61"/>
    <row r="823" ht="14.25" customHeight="1" s="61"/>
    <row r="824" ht="14.25" customHeight="1" s="61"/>
    <row r="825" ht="14.25" customHeight="1" s="61"/>
    <row r="826" ht="14.25" customHeight="1" s="61"/>
    <row r="827" ht="14.25" customHeight="1" s="61"/>
    <row r="828" ht="14.25" customHeight="1" s="61"/>
    <row r="829" ht="14.25" customHeight="1" s="61"/>
    <row r="830" ht="14.25" customHeight="1" s="61"/>
    <row r="831" ht="14.25" customHeight="1" s="61"/>
    <row r="832" ht="14.25" customHeight="1" s="61"/>
    <row r="833" ht="14.25" customHeight="1" s="61"/>
    <row r="834" ht="14.25" customHeight="1" s="61"/>
    <row r="835" ht="14.25" customHeight="1" s="61"/>
    <row r="836" ht="14.25" customHeight="1" s="61"/>
    <row r="837" ht="14.25" customHeight="1" s="61"/>
    <row r="838" ht="14.25" customHeight="1" s="61"/>
    <row r="839" ht="14.25" customHeight="1" s="61"/>
    <row r="840" ht="14.25" customHeight="1" s="61"/>
    <row r="841" ht="14.25" customHeight="1" s="61"/>
    <row r="842" ht="14.25" customHeight="1" s="61"/>
    <row r="843" ht="14.25" customHeight="1" s="61"/>
    <row r="844" ht="14.25" customHeight="1" s="61"/>
    <row r="845" ht="14.25" customHeight="1" s="61"/>
    <row r="846" ht="14.25" customHeight="1" s="61"/>
    <row r="847" ht="14.25" customHeight="1" s="61"/>
    <row r="848" ht="14.25" customHeight="1" s="61"/>
    <row r="849" ht="14.25" customHeight="1" s="61"/>
    <row r="850" ht="14.25" customHeight="1" s="61"/>
    <row r="851" ht="14.25" customHeight="1" s="61"/>
    <row r="852" ht="14.25" customHeight="1" s="61"/>
    <row r="853" ht="14.25" customHeight="1" s="61"/>
    <row r="854" ht="14.25" customHeight="1" s="61"/>
    <row r="855" ht="14.25" customHeight="1" s="61"/>
    <row r="856" ht="14.25" customHeight="1" s="61"/>
    <row r="857" ht="14.25" customHeight="1" s="61"/>
    <row r="858" ht="14.25" customHeight="1" s="61"/>
    <row r="859" ht="14.25" customHeight="1" s="61"/>
    <row r="860" ht="14.25" customHeight="1" s="61"/>
    <row r="861" ht="14.25" customHeight="1" s="61"/>
    <row r="862" ht="14.25" customHeight="1" s="61"/>
    <row r="863" ht="14.25" customHeight="1" s="61"/>
    <row r="864" ht="14.25" customHeight="1" s="61"/>
    <row r="865" ht="14.25" customHeight="1" s="61"/>
    <row r="866" ht="14.25" customHeight="1" s="61"/>
    <row r="867" ht="14.25" customHeight="1" s="61"/>
    <row r="868" ht="14.25" customHeight="1" s="61"/>
    <row r="869" ht="14.25" customHeight="1" s="61"/>
    <row r="870" ht="14.25" customHeight="1" s="61"/>
    <row r="871" ht="14.25" customHeight="1" s="61"/>
    <row r="872" ht="14.25" customHeight="1" s="61"/>
    <row r="873" ht="14.25" customHeight="1" s="61"/>
    <row r="874" ht="14.25" customHeight="1" s="61"/>
    <row r="875" ht="14.25" customHeight="1" s="61"/>
    <row r="876" ht="14.25" customHeight="1" s="61"/>
    <row r="877" ht="14.25" customHeight="1" s="61"/>
    <row r="878" ht="14.25" customHeight="1" s="61"/>
    <row r="879" ht="14.25" customHeight="1" s="61"/>
    <row r="880" ht="14.25" customHeight="1" s="61"/>
    <row r="881" ht="14.25" customHeight="1" s="61"/>
    <row r="882" ht="14.25" customHeight="1" s="61"/>
    <row r="883" ht="14.25" customHeight="1" s="61"/>
    <row r="884" ht="14.25" customHeight="1" s="61"/>
    <row r="885" ht="14.25" customHeight="1" s="61"/>
    <row r="886" ht="14.25" customHeight="1" s="61"/>
    <row r="887" ht="14.25" customHeight="1" s="61"/>
    <row r="888" ht="14.25" customHeight="1" s="61"/>
    <row r="889" ht="14.25" customHeight="1" s="61"/>
    <row r="890" ht="14.25" customHeight="1" s="61"/>
    <row r="891" ht="14.25" customHeight="1" s="61"/>
    <row r="892" ht="14.25" customHeight="1" s="61"/>
    <row r="893" ht="14.25" customHeight="1" s="61"/>
    <row r="894" ht="14.25" customHeight="1" s="61"/>
    <row r="895" ht="14.25" customHeight="1" s="61"/>
    <row r="896" ht="14.25" customHeight="1" s="61"/>
    <row r="897" ht="14.25" customHeight="1" s="61"/>
    <row r="898" ht="14.25" customHeight="1" s="61"/>
    <row r="899" ht="14.25" customHeight="1" s="61"/>
    <row r="900" ht="14.25" customHeight="1" s="61"/>
    <row r="901" ht="14.25" customHeight="1" s="61"/>
    <row r="902" ht="14.25" customHeight="1" s="61"/>
    <row r="903" ht="14.25" customHeight="1" s="61"/>
    <row r="904" ht="14.25" customHeight="1" s="61"/>
    <row r="905" ht="14.25" customHeight="1" s="61"/>
    <row r="906" ht="14.25" customHeight="1" s="61"/>
    <row r="907" ht="14.25" customHeight="1" s="61"/>
    <row r="908" ht="14.25" customHeight="1" s="61"/>
    <row r="909" ht="14.25" customHeight="1" s="61"/>
    <row r="910" ht="14.25" customHeight="1" s="61"/>
    <row r="911" ht="14.25" customHeight="1" s="61"/>
    <row r="912" ht="14.25" customHeight="1" s="61"/>
    <row r="913" ht="14.25" customHeight="1" s="61"/>
    <row r="914" ht="14.25" customHeight="1" s="61"/>
    <row r="915" ht="14.25" customHeight="1" s="61"/>
    <row r="916" ht="14.25" customHeight="1" s="61"/>
    <row r="917" ht="14.25" customHeight="1" s="61"/>
    <row r="918" ht="14.25" customHeight="1" s="61"/>
    <row r="919" ht="14.25" customHeight="1" s="61"/>
    <row r="920" ht="14.25" customHeight="1" s="61"/>
    <row r="921" ht="14.25" customHeight="1" s="61"/>
    <row r="922" ht="14.25" customHeight="1" s="61"/>
    <row r="923" ht="14.25" customHeight="1" s="61"/>
    <row r="924" ht="14.25" customHeight="1" s="61"/>
    <row r="925" ht="14.25" customHeight="1" s="61"/>
    <row r="926" ht="14.25" customHeight="1" s="61"/>
    <row r="927" ht="14.25" customHeight="1" s="61"/>
    <row r="928" ht="14.25" customHeight="1" s="61"/>
    <row r="929" ht="14.25" customHeight="1" s="61"/>
    <row r="930" ht="14.25" customHeight="1" s="61"/>
    <row r="931" ht="14.25" customHeight="1" s="61"/>
    <row r="932" ht="14.25" customHeight="1" s="61"/>
    <row r="933" ht="14.25" customHeight="1" s="61"/>
    <row r="934" ht="14.25" customHeight="1" s="61"/>
    <row r="935" ht="14.25" customHeight="1" s="61"/>
    <row r="936" ht="14.25" customHeight="1" s="61"/>
    <row r="937" ht="14.25" customHeight="1" s="61"/>
    <row r="938" ht="14.25" customHeight="1" s="61"/>
    <row r="939" ht="14.25" customHeight="1" s="61"/>
    <row r="940" ht="14.25" customHeight="1" s="61"/>
    <row r="941" ht="14.25" customHeight="1" s="61"/>
    <row r="942" ht="14.25" customHeight="1" s="61"/>
    <row r="943" ht="14.25" customHeight="1" s="61"/>
    <row r="944" ht="14.25" customHeight="1" s="61"/>
    <row r="945" ht="14.25" customHeight="1" s="61"/>
    <row r="946" ht="14.25" customHeight="1" s="61"/>
    <row r="947" ht="14.25" customHeight="1" s="61"/>
    <row r="948" ht="14.25" customHeight="1" s="61"/>
    <row r="949" ht="14.25" customHeight="1" s="61"/>
    <row r="950" ht="14.25" customHeight="1" s="61"/>
    <row r="951" ht="14.25" customHeight="1" s="61"/>
    <row r="952" ht="14.25" customHeight="1" s="61"/>
    <row r="953" ht="14.25" customHeight="1" s="61"/>
    <row r="954" ht="14.25" customHeight="1" s="61"/>
    <row r="955" ht="14.25" customHeight="1" s="61"/>
    <row r="956" ht="14.25" customHeight="1" s="61"/>
    <row r="957" ht="14.25" customHeight="1" s="61"/>
    <row r="958" ht="14.25" customHeight="1" s="61"/>
    <row r="959" ht="14.25" customHeight="1" s="61"/>
    <row r="960" ht="14.25" customHeight="1" s="61"/>
    <row r="961" ht="14.25" customHeight="1" s="61"/>
    <row r="962" ht="14.25" customHeight="1" s="61"/>
    <row r="963" ht="14.25" customHeight="1" s="61"/>
    <row r="964" ht="14.25" customHeight="1" s="61"/>
    <row r="965" ht="14.25" customHeight="1" s="61"/>
    <row r="966" ht="14.25" customHeight="1" s="61"/>
    <row r="967" ht="14.25" customHeight="1" s="61"/>
    <row r="968" ht="14.25" customHeight="1" s="61"/>
    <row r="969" ht="14.25" customHeight="1" s="61"/>
    <row r="970" ht="14.25" customHeight="1" s="61"/>
    <row r="971" ht="14.25" customHeight="1" s="61"/>
    <row r="972" ht="14.25" customHeight="1" s="61"/>
    <row r="973" ht="14.25" customHeight="1" s="61"/>
    <row r="974" ht="14.25" customHeight="1" s="61"/>
    <row r="975" ht="14.25" customHeight="1" s="61"/>
    <row r="976" ht="14.25" customHeight="1" s="61"/>
    <row r="977" ht="14.25" customHeight="1" s="61"/>
    <row r="978" ht="14.25" customHeight="1" s="61"/>
    <row r="979" ht="14.25" customHeight="1" s="61"/>
    <row r="980" ht="14.25" customHeight="1" s="61"/>
    <row r="981" ht="14.25" customHeight="1" s="61"/>
    <row r="982" ht="14.25" customHeight="1" s="61"/>
    <row r="983" ht="14.25" customHeight="1" s="61"/>
    <row r="984" ht="14.25" customHeight="1" s="61"/>
    <row r="985" ht="14.25" customHeight="1" s="61"/>
    <row r="986" ht="14.25" customHeight="1" s="61"/>
    <row r="987" ht="14.25" customHeight="1" s="61"/>
    <row r="988" ht="14.25" customHeight="1" s="61"/>
    <row r="989" ht="14.25" customHeight="1" s="61"/>
    <row r="990" ht="14.25" customHeight="1" s="61"/>
    <row r="991" ht="14.25" customHeight="1" s="61"/>
    <row r="992" ht="14.25" customHeight="1" s="61"/>
    <row r="993" ht="14.25" customHeight="1" s="61"/>
    <row r="994" ht="14.25" customHeight="1" s="61"/>
    <row r="995" ht="14.25" customHeight="1" s="61"/>
    <row r="996" ht="14.25" customHeight="1" s="61"/>
    <row r="997" ht="14.25" customHeight="1" s="61"/>
    <row r="998" ht="14.25" customHeight="1" s="61"/>
    <row r="999" ht="14.25" customHeight="1" s="61"/>
    <row r="1000" ht="14.25" customHeight="1" s="61"/>
  </sheetData>
  <mergeCells count="40">
    <mergeCell ref="J13:J14"/>
    <mergeCell ref="L13:L14"/>
    <mergeCell ref="K15:K16"/>
    <mergeCell ref="K21:K22"/>
    <mergeCell ref="L3:L4"/>
    <mergeCell ref="J37:J38"/>
    <mergeCell ref="J15:J16"/>
    <mergeCell ref="L37:L38"/>
    <mergeCell ref="L15:L16"/>
    <mergeCell ref="K35:K36"/>
    <mergeCell ref="J11:J12"/>
    <mergeCell ref="J27:J28"/>
    <mergeCell ref="L5:L6"/>
    <mergeCell ref="K11:K12"/>
    <mergeCell ref="K27:K28"/>
    <mergeCell ref="L29:L30"/>
    <mergeCell ref="L23:L24"/>
    <mergeCell ref="J7:J8"/>
    <mergeCell ref="K31:K32"/>
    <mergeCell ref="L7:L8"/>
    <mergeCell ref="J35:J36"/>
    <mergeCell ref="L35:L36"/>
    <mergeCell ref="K23:K24"/>
    <mergeCell ref="K13:K14"/>
    <mergeCell ref="J3:J4"/>
    <mergeCell ref="K7:K8"/>
    <mergeCell ref="J21:J22"/>
    <mergeCell ref="L21:L22"/>
    <mergeCell ref="J31:J32"/>
    <mergeCell ref="L31:L32"/>
    <mergeCell ref="L11:L12"/>
    <mergeCell ref="L27:L28"/>
    <mergeCell ref="J1:L1"/>
    <mergeCell ref="J5:J6"/>
    <mergeCell ref="K3:K4"/>
    <mergeCell ref="K37:K38"/>
    <mergeCell ref="J29:J30"/>
    <mergeCell ref="J23:J24"/>
    <mergeCell ref="K29:K30"/>
    <mergeCell ref="K5:K6"/>
  </mergeCell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G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E6" r:id="rId12"/>
    <hyperlink xmlns:r="http://schemas.openxmlformats.org/officeDocument/2006/relationships" ref="C7" r:id="rId13"/>
    <hyperlink xmlns:r="http://schemas.openxmlformats.org/officeDocument/2006/relationships" ref="E7" r:id="rId14"/>
    <hyperlink xmlns:r="http://schemas.openxmlformats.org/officeDocument/2006/relationships" ref="C8" r:id="rId15"/>
    <hyperlink xmlns:r="http://schemas.openxmlformats.org/officeDocument/2006/relationships" ref="D8" r:id="rId16"/>
  </hyperlinks>
  <pageMargins left="0.7" right="0.7" top="0.75" bottom="0.75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1" min="1" max="1"/>
    <col width="26.88" customWidth="1" style="61" min="2" max="2"/>
    <col width="27" customWidth="1" style="61" min="3" max="3"/>
    <col width="31.63" customWidth="1" style="61" min="4" max="4"/>
    <col width="10.63" customWidth="1" style="61" min="5" max="27"/>
  </cols>
  <sheetData>
    <row r="1" ht="14.25" customHeight="1" s="61">
      <c r="A1" s="1" t="inlineStr">
        <is>
          <t>Semaine</t>
        </is>
      </c>
      <c r="B1" s="2" t="inlineStr">
        <is>
          <t>Cours en classe entière (3h/semaine)</t>
        </is>
      </c>
      <c r="C1" s="2" t="inlineStr">
        <is>
          <t>Fiche calcul 
(en demi-groupe 1h/semaine)</t>
        </is>
      </c>
      <c r="D1" s="2" t="inlineStr">
        <is>
          <t>AP (1h en groupe à eff variables)</t>
        </is>
      </c>
      <c r="E1" s="2" t="inlineStr">
        <is>
          <t xml:space="preserve">Questions flashs </t>
        </is>
      </c>
      <c r="F1" s="62" t="n"/>
      <c r="G1" s="63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4.25" customHeight="1" s="61">
      <c r="A2" s="8">
        <f>date(2026,8,31)</f>
        <v/>
      </c>
      <c r="B2" s="9" t="inlineStr">
        <is>
          <t>Vecteurs partie 1</t>
        </is>
      </c>
      <c r="C2" s="12" t="inlineStr">
        <is>
          <t xml:space="preserve">équations </t>
        </is>
      </c>
      <c r="D2" s="12" t="inlineStr">
        <is>
          <t>Test AP =&gt; constitution de 3 groupes</t>
        </is>
      </c>
      <c r="E2" s="14" t="inlineStr">
        <is>
          <t>1 calcul num</t>
        </is>
      </c>
      <c r="F2" s="14" t="inlineStr">
        <is>
          <t>1 calc litt</t>
        </is>
      </c>
      <c r="G2" s="14" t="inlineStr">
        <is>
          <t>1 autre</t>
        </is>
      </c>
      <c r="H2" s="15" t="n"/>
    </row>
    <row r="3" ht="14.25" customHeight="1" s="61">
      <c r="A3" s="16">
        <f>A2+7</f>
        <v/>
      </c>
      <c r="B3" s="9" t="inlineStr">
        <is>
          <t>Vecteurs partie 1</t>
        </is>
      </c>
      <c r="C3" s="12" t="inlineStr">
        <is>
          <t xml:space="preserve">équations </t>
        </is>
      </c>
      <c r="D3" s="12" t="inlineStr">
        <is>
          <t>Groupe 1: fractions niveau 1</t>
        </is>
      </c>
      <c r="E3" s="12" t="inlineStr">
        <is>
          <t>Fractions</t>
        </is>
      </c>
      <c r="F3" s="12" t="inlineStr">
        <is>
          <t>Distributivité</t>
        </is>
      </c>
      <c r="G3" s="12" t="inlineStr">
        <is>
          <t>Conversions</t>
        </is>
      </c>
    </row>
    <row r="4" ht="14.25" customHeight="1" s="61">
      <c r="A4" s="16">
        <f>A3+7</f>
        <v/>
      </c>
      <c r="B4" s="9" t="inlineStr">
        <is>
          <t>Vecteurs partie 1</t>
        </is>
      </c>
      <c r="C4" s="10" t="inlineStr">
        <is>
          <t>Test de positionnement</t>
        </is>
      </c>
      <c r="D4" s="12" t="inlineStr">
        <is>
          <t>Groupe 1: relatifs et puissances niveau 1</t>
        </is>
      </c>
      <c r="E4" s="65" t="n"/>
      <c r="F4" s="65" t="n"/>
      <c r="G4" s="65" t="n"/>
    </row>
    <row r="5" ht="14.25" customHeight="1" s="61">
      <c r="A5" s="16">
        <f>A4+7</f>
        <v/>
      </c>
      <c r="B5" s="9" t="inlineStr">
        <is>
          <t>Vecteurs partie 1</t>
        </is>
      </c>
      <c r="C5" s="21" t="inlineStr">
        <is>
          <t>Séance exo construction vecteurs</t>
        </is>
      </c>
      <c r="D5" s="12" t="inlineStr">
        <is>
          <t>Groupe 2: fractions niveau 2</t>
        </is>
      </c>
      <c r="E5" s="44" t="inlineStr">
        <is>
          <t>Puissances</t>
        </is>
      </c>
      <c r="F5" s="44" t="inlineStr">
        <is>
          <t>Equations 1er degré</t>
        </is>
      </c>
      <c r="G5" s="44" t="inlineStr">
        <is>
          <t>Lect image/ant</t>
        </is>
      </c>
    </row>
    <row r="6" ht="14.25" customHeight="1" s="61">
      <c r="A6" s="16">
        <f>A5+7</f>
        <v/>
      </c>
      <c r="B6" s="12" t="inlineStr">
        <is>
          <t xml:space="preserve">Ensemble de nombres </t>
        </is>
      </c>
      <c r="C6" s="12" t="inlineStr">
        <is>
          <t xml:space="preserve">Factorisation </t>
        </is>
      </c>
      <c r="D6" s="12" t="inlineStr">
        <is>
          <t>Groupe 2: relatifs et puissances niveau 2</t>
        </is>
      </c>
      <c r="E6" s="65" t="n"/>
      <c r="F6" s="65" t="n"/>
      <c r="G6" s="65" t="n"/>
    </row>
    <row r="7" ht="14.25" customHeight="1" s="61">
      <c r="A7" s="16">
        <f>A6+7</f>
        <v/>
      </c>
      <c r="B7" s="12" t="inlineStr">
        <is>
          <t xml:space="preserve">Ensemble de nombres </t>
        </is>
      </c>
      <c r="C7" s="12" t="inlineStr">
        <is>
          <t xml:space="preserve">Factorisation </t>
        </is>
      </c>
      <c r="D7" s="12" t="inlineStr">
        <is>
          <t>Groupe 3: Fractions niveau 3</t>
        </is>
      </c>
      <c r="E7" s="44" t="inlineStr">
        <is>
          <t>Comparaison nombre</t>
        </is>
      </c>
      <c r="F7" s="44" t="inlineStr">
        <is>
          <t>App num d'une formule</t>
        </is>
      </c>
      <c r="G7" s="44" t="inlineStr">
        <is>
          <t>Coordonnées de points</t>
        </is>
      </c>
    </row>
    <row r="8" ht="14.25" customHeight="1" s="61">
      <c r="A8" s="16">
        <f>A7+7</f>
        <v/>
      </c>
      <c r="B8" s="59" t="inlineStr">
        <is>
          <t>Fonctions: généralités, résolution graphique</t>
        </is>
      </c>
      <c r="C8" s="12" t="inlineStr">
        <is>
          <t>Inéquations</t>
        </is>
      </c>
      <c r="D8" s="12" t="inlineStr">
        <is>
          <t>Groupe 3: relatifs et puissances niveau 3</t>
        </is>
      </c>
      <c r="E8" s="65" t="n"/>
      <c r="F8" s="65" t="n"/>
      <c r="G8" s="65" t="n"/>
    </row>
    <row r="9" ht="14.25" customHeight="1" s="61">
      <c r="A9" s="16">
        <f>A8+7</f>
        <v/>
      </c>
      <c r="B9" s="30" t="inlineStr">
        <is>
          <t>Vacances de la Toussaint</t>
        </is>
      </c>
      <c r="C9" s="31" t="n"/>
      <c r="D9" s="31" t="n"/>
      <c r="E9" s="31" t="n"/>
      <c r="F9" s="32" t="n"/>
      <c r="G9" s="31" t="n"/>
    </row>
    <row r="10" ht="14.25" customHeight="1" s="61">
      <c r="A10" s="16">
        <f>A9+7</f>
        <v/>
      </c>
      <c r="B10" s="33" t="inlineStr">
        <is>
          <t>Vacances de la Toussaint</t>
        </is>
      </c>
      <c r="C10" s="31" t="n"/>
      <c r="D10" s="31" t="n"/>
      <c r="E10" s="31" t="n"/>
      <c r="F10" s="31" t="n"/>
      <c r="G10" s="31" t="n"/>
    </row>
    <row r="11" ht="14.25" customHeight="1" s="61">
      <c r="A11" s="16">
        <f>A10+7</f>
        <v/>
      </c>
      <c r="B11" s="59" t="inlineStr">
        <is>
          <t>Fonctions: généralités, résolution graphique</t>
        </is>
      </c>
      <c r="C11" s="36" t="inlineStr">
        <is>
          <t>Problèmes de modélisations (inéquations et éq)</t>
        </is>
      </c>
      <c r="D11" s="12" t="inlineStr">
        <is>
          <t>Groupe 1 et une partie du 2 : distributivité</t>
        </is>
      </c>
      <c r="E11" s="44" t="inlineStr">
        <is>
          <t>Fractions</t>
        </is>
      </c>
      <c r="F11" s="12" t="inlineStr">
        <is>
          <t>Factorisation</t>
        </is>
      </c>
      <c r="G11" s="12" t="inlineStr">
        <is>
          <t>Vecteurs</t>
        </is>
      </c>
    </row>
    <row r="12" ht="14.25" customHeight="1" s="61">
      <c r="A12" s="16">
        <f>A11+7</f>
        <v/>
      </c>
      <c r="B12" s="9" t="inlineStr">
        <is>
          <t>Vecteurs partie 2</t>
        </is>
      </c>
      <c r="C12" s="12" t="inlineStr">
        <is>
          <t>Racine carrée (calculs et simplifications)</t>
        </is>
      </c>
      <c r="D12" s="12" t="inlineStr">
        <is>
          <t>Groupe 3: proportions niveau 3</t>
        </is>
      </c>
      <c r="E12" s="65" t="n"/>
      <c r="F12" s="65" t="n"/>
      <c r="G12" s="65" t="n"/>
    </row>
    <row r="13" ht="14.25" customHeight="1" s="61">
      <c r="A13" s="16">
        <f>A12+7</f>
        <v/>
      </c>
      <c r="B13" s="9" t="inlineStr">
        <is>
          <t>Vecteurs partie 2</t>
        </is>
      </c>
      <c r="C13" s="12" t="inlineStr">
        <is>
          <t>Racine carrée (calculs et simplifications)</t>
        </is>
      </c>
      <c r="D13" s="12" t="inlineStr">
        <is>
          <t>Groupe 2: proportions niveau 2</t>
        </is>
      </c>
      <c r="E13" s="44" t="inlineStr">
        <is>
          <t>Racines carrées</t>
        </is>
      </c>
      <c r="F13" s="73" t="inlineStr">
        <is>
          <t>Inéquations</t>
        </is>
      </c>
      <c r="G13" s="44" t="inlineStr">
        <is>
          <t>Proportions</t>
        </is>
      </c>
    </row>
    <row r="14" ht="14.25" customHeight="1" s="61">
      <c r="A14" s="16">
        <f>A13+7</f>
        <v/>
      </c>
      <c r="B14" s="9" t="inlineStr">
        <is>
          <t>Vecteurs partie 2</t>
        </is>
      </c>
      <c r="C14" s="12" t="inlineStr">
        <is>
          <t>Identités remarquables</t>
        </is>
      </c>
      <c r="D14" s="12" t="inlineStr">
        <is>
          <t>Groupe 2: proportions niveau 2</t>
        </is>
      </c>
      <c r="E14" s="65" t="n"/>
      <c r="F14" s="65" t="n"/>
      <c r="G14" s="65" t="n"/>
    </row>
    <row r="15" ht="14.25" customHeight="1" s="61">
      <c r="A15" s="16">
        <f>A14+7</f>
        <v/>
      </c>
      <c r="B15" s="60" t="inlineStr">
        <is>
          <t>Fonctions : Variations et signes</t>
        </is>
      </c>
      <c r="C15" s="12" t="inlineStr">
        <is>
          <t>Identités remarquables</t>
        </is>
      </c>
      <c r="D15" s="40" t="inlineStr">
        <is>
          <t>Révisions DC sur base volontariat</t>
        </is>
      </c>
      <c r="E15" s="44" t="inlineStr">
        <is>
          <t>Ordre de grandeur</t>
        </is>
      </c>
      <c r="F15" s="12" t="inlineStr">
        <is>
          <t>Identités rem</t>
        </is>
      </c>
      <c r="G15" s="44" t="inlineStr">
        <is>
          <t>Exploiter une courbe</t>
        </is>
      </c>
    </row>
    <row r="16" ht="14.25" customHeight="1" s="61">
      <c r="A16" s="16">
        <f>A15+7</f>
        <v/>
      </c>
      <c r="B16" s="42" t="inlineStr">
        <is>
          <t>Devoir commun</t>
        </is>
      </c>
      <c r="C16" s="12" t="inlineStr">
        <is>
          <t>Identités remarquables</t>
        </is>
      </c>
      <c r="D16" s="12" t="inlineStr">
        <is>
          <t>Groupe 1: proportions niveau 1</t>
        </is>
      </c>
      <c r="E16" s="65" t="n"/>
      <c r="F16" s="65" t="n"/>
      <c r="G16" s="65" t="n"/>
    </row>
    <row r="17" ht="14.25" customHeight="1" s="61">
      <c r="A17" s="16">
        <f>A16+7</f>
        <v/>
      </c>
      <c r="B17" s="43" t="inlineStr">
        <is>
          <t>Fonctions : Variations et signes</t>
        </is>
      </c>
      <c r="C17" s="43" t="inlineStr">
        <is>
          <t>Fonction carrée + équations x²=a</t>
        </is>
      </c>
      <c r="D17" s="12" t="inlineStr">
        <is>
          <t>Groupe 1: proportions niveau 1</t>
        </is>
      </c>
      <c r="E17" s="44" t="inlineStr">
        <is>
          <t>Histogrammes, diagrammes etc</t>
        </is>
      </c>
      <c r="F17" s="23" t="inlineStr">
        <is>
          <t>Isoler variable</t>
        </is>
      </c>
      <c r="G17" s="12" t="inlineStr">
        <is>
          <t>Trigo</t>
        </is>
      </c>
    </row>
    <row r="18" ht="14.25" customHeight="1" s="61">
      <c r="A18" s="16">
        <f>A17+7</f>
        <v/>
      </c>
      <c r="B18" s="33" t="inlineStr">
        <is>
          <t>Vacances de Noël</t>
        </is>
      </c>
      <c r="C18" s="45" t="n"/>
      <c r="D18" s="45" t="n"/>
      <c r="E18" s="31" t="n"/>
      <c r="F18" s="31" t="n"/>
      <c r="G18" s="31" t="n"/>
    </row>
    <row r="19" ht="14.25" customHeight="1" s="61">
      <c r="A19" s="16">
        <f>A18+7</f>
        <v/>
      </c>
      <c r="B19" s="33" t="inlineStr">
        <is>
          <t>Vacances de Noël</t>
        </is>
      </c>
      <c r="C19" s="45" t="n"/>
      <c r="D19" s="45" t="n"/>
      <c r="E19" s="31" t="n"/>
      <c r="F19" s="31" t="n"/>
      <c r="G19" s="31" t="n"/>
    </row>
    <row r="20" ht="14.25" customHeight="1" s="61">
      <c r="A20" s="16">
        <f>A19+7</f>
        <v/>
      </c>
      <c r="B20" s="46" t="inlineStr">
        <is>
          <t>Evolutions et tableaux croisés</t>
        </is>
      </c>
      <c r="C20" s="43" t="inlineStr">
        <is>
          <t>Fonction carrée + équations x²=a</t>
        </is>
      </c>
      <c r="D20" s="36" t="inlineStr">
        <is>
          <t>Groupe 2: calculs en géométrie</t>
        </is>
      </c>
      <c r="E20" s="44" t="inlineStr">
        <is>
          <t>Histogrammes, diagrammes etc</t>
        </is>
      </c>
      <c r="F20" s="23" t="inlineStr">
        <is>
          <t>Isoler variable</t>
        </is>
      </c>
      <c r="G20" s="12" t="inlineStr">
        <is>
          <t>a/x=b</t>
        </is>
      </c>
    </row>
    <row r="21" ht="14.25" customHeight="1" s="61">
      <c r="A21" s="16">
        <f>A20+7</f>
        <v/>
      </c>
      <c r="B21" s="46" t="inlineStr">
        <is>
          <t>Evolutions et tableaux croisés</t>
        </is>
      </c>
      <c r="C21" s="43" t="inlineStr">
        <is>
          <t>Fonction carrée + équations x²=a</t>
        </is>
      </c>
      <c r="D21" s="12" t="inlineStr">
        <is>
          <t>ski</t>
        </is>
      </c>
      <c r="E21" s="12" t="inlineStr">
        <is>
          <t>Puissances</t>
        </is>
      </c>
      <c r="F21" s="12" t="inlineStr">
        <is>
          <t>Identités rem</t>
        </is>
      </c>
      <c r="G21" s="44" t="inlineStr">
        <is>
          <t>Résolution graph éq/inéq</t>
        </is>
      </c>
    </row>
    <row r="22" ht="14.25" customHeight="1" s="61">
      <c r="A22" s="16">
        <f>A21+7</f>
        <v/>
      </c>
      <c r="B22" s="43" t="inlineStr">
        <is>
          <t>Fonctions affines</t>
        </is>
      </c>
      <c r="C22" s="43" t="inlineStr">
        <is>
          <t>Fonction carrée + équations x²=a</t>
        </is>
      </c>
      <c r="D22" s="12" t="inlineStr">
        <is>
          <t>Groupe 2: calculs en géométrie</t>
        </is>
      </c>
      <c r="E22" s="65" t="n"/>
      <c r="F22" s="65" t="n"/>
      <c r="G22" s="65" t="n"/>
    </row>
    <row r="23" ht="14.25" customHeight="1" s="61">
      <c r="A23" s="16">
        <f>A22+7</f>
        <v/>
      </c>
      <c r="B23" s="43" t="inlineStr">
        <is>
          <t>Fonctions affines</t>
        </is>
      </c>
      <c r="C23" s="48" t="inlineStr">
        <is>
          <t>Tracer une droite</t>
        </is>
      </c>
      <c r="D23" s="12" t="inlineStr">
        <is>
          <t>Groupe 3: calculs en géométrie</t>
        </is>
      </c>
      <c r="E23" s="44" t="inlineStr">
        <is>
          <t>Comparaison nombre</t>
        </is>
      </c>
      <c r="F23" s="12" t="inlineStr">
        <is>
          <t>Factorisation</t>
        </is>
      </c>
      <c r="G23" s="44" t="inlineStr">
        <is>
          <t>Probabilités</t>
        </is>
      </c>
    </row>
    <row r="24" ht="14.25" customHeight="1" s="61">
      <c r="A24" s="16">
        <f>A23+7</f>
        <v/>
      </c>
      <c r="B24" s="43" t="inlineStr">
        <is>
          <t>Fonctions affines</t>
        </is>
      </c>
      <c r="C24" s="36" t="inlineStr">
        <is>
          <t>Problèmes de modélisations (inéquations et éq)</t>
        </is>
      </c>
      <c r="D24" s="12" t="inlineStr">
        <is>
          <t>Groupe 3: calculs en géométrie</t>
        </is>
      </c>
      <c r="E24" s="65" t="n"/>
      <c r="F24" s="65" t="n"/>
      <c r="G24" s="65" t="n"/>
    </row>
    <row r="25" ht="14.25" customHeight="1" s="61">
      <c r="A25" s="16">
        <f>A24+7</f>
        <v/>
      </c>
      <c r="B25" s="33" t="inlineStr">
        <is>
          <t>Vacances d'hiver</t>
        </is>
      </c>
      <c r="C25" s="49" t="n"/>
      <c r="D25" s="49" t="n"/>
      <c r="E25" s="31" t="n"/>
      <c r="F25" s="31" t="n"/>
      <c r="G25" s="31" t="n"/>
    </row>
    <row r="26" ht="14.25" customHeight="1" s="61">
      <c r="A26" s="16">
        <f>A25+7</f>
        <v/>
      </c>
      <c r="B26" s="33" t="inlineStr">
        <is>
          <t>Vacances d'hiver</t>
        </is>
      </c>
      <c r="C26" s="33" t="n"/>
      <c r="D26" s="33" t="n"/>
      <c r="E26" s="31" t="n"/>
      <c r="F26" s="31" t="n"/>
      <c r="G26" s="31" t="n"/>
    </row>
    <row r="27" ht="14.25" customHeight="1" s="61">
      <c r="A27" s="16">
        <f>A26+7</f>
        <v/>
      </c>
      <c r="B27" s="9" t="inlineStr">
        <is>
          <t>Colinéarité</t>
        </is>
      </c>
      <c r="C27" s="12" t="inlineStr">
        <is>
          <t>Equations produit nul/ quotient</t>
        </is>
      </c>
      <c r="D27" s="12" t="inlineStr">
        <is>
          <t>Groupe 1: calculs en géométrie</t>
        </is>
      </c>
      <c r="E27" s="44" t="inlineStr">
        <is>
          <t>Passer d'une écri à une aut</t>
        </is>
      </c>
      <c r="F27" s="79" t="inlineStr">
        <is>
          <t>x²=a</t>
        </is>
      </c>
      <c r="G27" s="44" t="inlineStr">
        <is>
          <t>Evolutions</t>
        </is>
      </c>
    </row>
    <row r="28" ht="14.25" customHeight="1" s="61">
      <c r="A28" s="16">
        <f>A27+7</f>
        <v/>
      </c>
      <c r="B28" s="46" t="inlineStr">
        <is>
          <t>Probabilités</t>
        </is>
      </c>
      <c r="C28" s="12" t="inlineStr">
        <is>
          <t>Equations produit nul/ quotient</t>
        </is>
      </c>
      <c r="D28" s="12" t="inlineStr">
        <is>
          <t>Groupe 1: calculs en géométrie</t>
        </is>
      </c>
      <c r="E28" s="65" t="n"/>
      <c r="F28" s="65" t="n"/>
      <c r="G28" s="65" t="n"/>
    </row>
    <row r="29" ht="14.25" customHeight="1" s="61">
      <c r="A29" s="16">
        <f>A28+7</f>
        <v/>
      </c>
      <c r="B29" s="46" t="inlineStr">
        <is>
          <t>Probabilités</t>
        </is>
      </c>
      <c r="C29" s="51" t="inlineStr">
        <is>
          <t>Fonction inverse</t>
        </is>
      </c>
      <c r="D29" s="12" t="inlineStr">
        <is>
          <t>Groupe 3: systèmes</t>
        </is>
      </c>
      <c r="E29" s="44" t="inlineStr">
        <is>
          <t>Fractions</t>
        </is>
      </c>
      <c r="F29" s="80" t="inlineStr">
        <is>
          <t>Equations produit nul</t>
        </is>
      </c>
      <c r="G29" s="44" t="inlineStr">
        <is>
          <t>Fct affines</t>
        </is>
      </c>
    </row>
    <row r="30" ht="14.25" customHeight="1" s="61">
      <c r="A30" s="16">
        <f>A29+7</f>
        <v/>
      </c>
      <c r="B30" s="46" t="inlineStr">
        <is>
          <t>Probabilités</t>
        </is>
      </c>
      <c r="C30" s="51" t="inlineStr">
        <is>
          <t>Fonction inverse</t>
        </is>
      </c>
      <c r="D30" s="12" t="inlineStr">
        <is>
          <t>Groupe 3: systèmes</t>
        </is>
      </c>
      <c r="E30" s="65" t="n"/>
      <c r="F30" s="65" t="n"/>
      <c r="G30" s="65" t="n"/>
    </row>
    <row r="31" ht="14.25" customHeight="1" s="61">
      <c r="A31" s="16">
        <f>A30+7</f>
        <v/>
      </c>
      <c r="B31" s="9" t="inlineStr">
        <is>
          <t>Colinéarité et droites dans le plan</t>
        </is>
      </c>
      <c r="C31" s="12" t="inlineStr">
        <is>
          <t>Tableau de signes produit et quotient</t>
        </is>
      </c>
      <c r="D31" s="12" t="inlineStr">
        <is>
          <t>Groupe 2: remédiations vecteurs</t>
        </is>
      </c>
      <c r="E31" s="44" t="inlineStr">
        <is>
          <t>Ordre de grandeur</t>
        </is>
      </c>
      <c r="F31" s="79" t="inlineStr">
        <is>
          <t>Calculs imag et ant formule</t>
        </is>
      </c>
      <c r="G31" s="44" t="inlineStr">
        <is>
          <t>Moyenne, médiane</t>
        </is>
      </c>
    </row>
    <row r="32" ht="14.25" customHeight="1" s="61">
      <c r="A32" s="16">
        <f>A31+7</f>
        <v/>
      </c>
      <c r="B32" s="9" t="inlineStr">
        <is>
          <t>Colinéarité et droites dans le plan</t>
        </is>
      </c>
      <c r="C32" s="12" t="inlineStr">
        <is>
          <t>Tableau de signes produit et quotient</t>
        </is>
      </c>
      <c r="D32" s="12" t="inlineStr">
        <is>
          <t>Groupe 1: remédiations vecteurs</t>
        </is>
      </c>
      <c r="E32" s="65" t="n"/>
      <c r="F32" s="65" t="n"/>
      <c r="G32" s="65" t="n"/>
    </row>
    <row r="33" ht="14.25" customHeight="1" s="61">
      <c r="A33" s="16">
        <f>A32+7</f>
        <v/>
      </c>
      <c r="B33" s="33" t="inlineStr">
        <is>
          <t>Vacances de Pâques</t>
        </is>
      </c>
      <c r="C33" s="33" t="n"/>
      <c r="D33" s="33" t="n"/>
      <c r="E33" s="31" t="n"/>
      <c r="F33" s="31" t="n"/>
      <c r="G33" s="31" t="n"/>
    </row>
    <row r="34" ht="14.25" customHeight="1" s="61">
      <c r="A34" s="16">
        <f>A33+7</f>
        <v/>
      </c>
      <c r="B34" s="33" t="inlineStr">
        <is>
          <t>Vacances de Pâques</t>
        </is>
      </c>
      <c r="C34" s="49" t="n"/>
      <c r="D34" s="49" t="n"/>
      <c r="E34" s="31" t="n"/>
      <c r="F34" s="31" t="n"/>
      <c r="G34" s="31" t="n"/>
    </row>
    <row r="35" ht="14.25" customHeight="1" s="61">
      <c r="A35" s="16">
        <f>A34+7</f>
        <v/>
      </c>
      <c r="B35" s="9" t="inlineStr">
        <is>
          <t>Colinéarité et droites dans le plan</t>
        </is>
      </c>
      <c r="C35" s="12" t="inlineStr">
        <is>
          <t>Tableau de signes produit et quotient</t>
        </is>
      </c>
      <c r="D35" s="12" t="inlineStr">
        <is>
          <t>Groupe 3: exercices de recherches</t>
        </is>
      </c>
      <c r="E35" s="44" t="inlineStr">
        <is>
          <t>Racines carrées</t>
        </is>
      </c>
      <c r="F35" s="44" t="inlineStr">
        <is>
          <t>Fonctions affines</t>
        </is>
      </c>
      <c r="G35" s="44" t="inlineStr">
        <is>
          <t>Calculs géométrie</t>
        </is>
      </c>
    </row>
    <row r="36" ht="14.25" customHeight="1" s="61">
      <c r="A36" s="16">
        <f>A35+7</f>
        <v/>
      </c>
      <c r="B36" s="46" t="inlineStr">
        <is>
          <t>Stats</t>
        </is>
      </c>
      <c r="C36" s="51" t="inlineStr">
        <is>
          <t>Ensembles de définition</t>
        </is>
      </c>
      <c r="D36" s="40" t="inlineStr">
        <is>
          <t>Révisions DC sur base volontariat</t>
        </is>
      </c>
      <c r="E36" s="65" t="n"/>
      <c r="F36" s="65" t="n"/>
      <c r="G36" s="65" t="n"/>
    </row>
    <row r="37" ht="14.25" customHeight="1" s="61">
      <c r="A37" s="16">
        <f>A36+7</f>
        <v/>
      </c>
      <c r="B37" s="53" t="inlineStr">
        <is>
          <t>Devoir commun</t>
        </is>
      </c>
      <c r="C37" s="12" t="inlineStr">
        <is>
          <t>Distance et valeur absolue</t>
        </is>
      </c>
      <c r="D37" s="12" t="n"/>
      <c r="E37" s="44" t="inlineStr">
        <is>
          <t>App num d'une formule</t>
        </is>
      </c>
      <c r="F37" s="44" t="inlineStr">
        <is>
          <t>Equations quotient</t>
        </is>
      </c>
      <c r="G37" s="44" t="inlineStr">
        <is>
          <t>Conversions</t>
        </is>
      </c>
    </row>
    <row r="38" ht="14.25" customHeight="1" s="61">
      <c r="A38" s="16">
        <f>A37+7</f>
        <v/>
      </c>
      <c r="B38" s="12" t="inlineStr">
        <is>
          <t>Stats</t>
        </is>
      </c>
      <c r="C38" s="51" t="inlineStr">
        <is>
          <t>Fonction valeur absolue</t>
        </is>
      </c>
      <c r="D38" s="12" t="n"/>
      <c r="E38" s="65" t="n"/>
      <c r="F38" s="65" t="n"/>
      <c r="G38" s="65" t="n"/>
    </row>
    <row r="39" ht="14.25" customHeight="1" s="61">
      <c r="A39" s="16">
        <f>A38+7</f>
        <v/>
      </c>
      <c r="B39" s="46" t="inlineStr">
        <is>
          <t>Arithmétique</t>
        </is>
      </c>
      <c r="C39" s="12" t="n"/>
      <c r="D39" s="12" t="n"/>
      <c r="E39" s="12" t="n"/>
      <c r="F39" s="12" t="n"/>
      <c r="G39" s="12" t="n"/>
    </row>
    <row r="40" ht="14.25" customHeight="1" s="61">
      <c r="A40" s="16">
        <f>A39+7</f>
        <v/>
      </c>
      <c r="B40" s="46" t="inlineStr">
        <is>
          <t>Arithmétique</t>
        </is>
      </c>
      <c r="C40" s="12" t="n"/>
      <c r="D40" s="12" t="n"/>
      <c r="E40" s="12" t="n"/>
      <c r="F40" s="12" t="n"/>
      <c r="G40" s="12" t="n"/>
    </row>
    <row r="41" ht="14.25" customHeight="1" s="61">
      <c r="A41" s="16">
        <f>A40+7</f>
        <v/>
      </c>
      <c r="B41" s="55" t="n"/>
      <c r="C41" s="55" t="n"/>
      <c r="D41" s="55" t="n"/>
      <c r="E41" s="55" t="n"/>
      <c r="F41" s="55" t="n"/>
      <c r="G41" s="55" t="n"/>
    </row>
    <row r="42" ht="14.25" customHeight="1" s="61">
      <c r="A42" s="16">
        <f>A41+7</f>
        <v/>
      </c>
      <c r="B42" s="56" t="inlineStr">
        <is>
          <t>Fin des cours</t>
        </is>
      </c>
      <c r="C42" s="57" t="n"/>
      <c r="D42" s="57" t="n"/>
      <c r="E42" s="57" t="n"/>
      <c r="F42" s="57" t="n"/>
      <c r="G42" s="57" t="n"/>
    </row>
    <row r="43" ht="14.25" customHeight="1" s="61">
      <c r="A43" s="48" t="n"/>
      <c r="B43" s="48" t="n"/>
      <c r="C43" s="58" t="n"/>
      <c r="D43" s="58" t="n"/>
    </row>
    <row r="44" ht="14.25" customHeight="1" s="61">
      <c r="A44" s="48" t="n"/>
      <c r="B44" s="48" t="n"/>
      <c r="C44" s="58" t="n"/>
      <c r="D44" s="58" t="n"/>
    </row>
    <row r="45" ht="14.25" customHeight="1" s="61"/>
    <row r="46" ht="14.25" customHeight="1" s="61"/>
    <row r="47" ht="14.25" customHeight="1" s="61"/>
    <row r="48" ht="14.25" customHeight="1" s="61"/>
    <row r="49" ht="14.25" customHeight="1" s="61"/>
    <row r="50" ht="14.25" customHeight="1" s="61"/>
    <row r="51" ht="14.25" customHeight="1" s="61"/>
    <row r="52" ht="14.25" customHeight="1" s="61"/>
    <row r="53" ht="14.25" customHeight="1" s="61"/>
    <row r="54" ht="14.25" customHeight="1" s="61"/>
    <row r="55" ht="14.25" customHeight="1" s="61"/>
    <row r="56" ht="14.25" customHeight="1" s="61"/>
    <row r="57" ht="14.25" customHeight="1" s="61"/>
    <row r="58" ht="14.25" customHeight="1" s="61"/>
    <row r="59" ht="14.25" customHeight="1" s="61"/>
    <row r="60" ht="14.25" customHeight="1" s="61"/>
    <row r="61" ht="14.25" customHeight="1" s="61"/>
    <row r="62" ht="14.25" customHeight="1" s="61"/>
    <row r="63" ht="14.25" customHeight="1" s="61"/>
    <row r="64" ht="14.25" customHeight="1" s="61"/>
    <row r="65" ht="14.25" customHeight="1" s="61"/>
    <row r="66" ht="14.25" customHeight="1" s="61"/>
    <row r="67" ht="14.25" customHeight="1" s="61"/>
    <row r="68" ht="14.25" customHeight="1" s="61"/>
    <row r="69" ht="14.25" customHeight="1" s="61"/>
    <row r="70" ht="14.25" customHeight="1" s="61"/>
    <row r="71" ht="14.25" customHeight="1" s="61"/>
    <row r="72" ht="14.25" customHeight="1" s="61"/>
    <row r="73" ht="14.25" customHeight="1" s="61"/>
    <row r="74" ht="14.25" customHeight="1" s="61"/>
    <row r="75" ht="14.25" customHeight="1" s="61"/>
    <row r="76" ht="14.25" customHeight="1" s="61"/>
    <row r="77" ht="14.25" customHeight="1" s="61"/>
    <row r="78" ht="14.25" customHeight="1" s="61"/>
    <row r="79" ht="14.25" customHeight="1" s="61"/>
    <row r="80" ht="14.25" customHeight="1" s="61"/>
    <row r="81" ht="14.25" customHeight="1" s="61"/>
    <row r="82" ht="14.25" customHeight="1" s="61"/>
    <row r="83" ht="14.25" customHeight="1" s="61"/>
    <row r="84" ht="14.25" customHeight="1" s="61"/>
    <row r="85" ht="14.25" customHeight="1" s="61"/>
    <row r="86" ht="14.25" customHeight="1" s="61"/>
    <row r="87" ht="14.25" customHeight="1" s="61"/>
    <row r="88" ht="14.25" customHeight="1" s="61"/>
    <row r="89" ht="14.25" customHeight="1" s="61"/>
    <row r="90" ht="14.25" customHeight="1" s="61"/>
    <row r="91" ht="14.25" customHeight="1" s="61"/>
    <row r="92" ht="14.25" customHeight="1" s="61"/>
    <row r="93" ht="14.25" customHeight="1" s="61"/>
    <row r="94" ht="14.25" customHeight="1" s="61"/>
    <row r="95" ht="14.25" customHeight="1" s="61"/>
    <row r="96" ht="14.25" customHeight="1" s="61"/>
    <row r="97" ht="14.25" customHeight="1" s="61"/>
    <row r="98" ht="14.25" customHeight="1" s="61"/>
    <row r="99" ht="14.25" customHeight="1" s="61"/>
    <row r="100" ht="14.25" customHeight="1" s="61"/>
    <row r="101" ht="14.25" customHeight="1" s="61"/>
    <row r="102" ht="14.25" customHeight="1" s="61"/>
    <row r="103" ht="14.25" customHeight="1" s="61"/>
    <row r="104" ht="14.25" customHeight="1" s="61"/>
    <row r="105" ht="14.25" customHeight="1" s="61"/>
    <row r="106" ht="14.25" customHeight="1" s="61"/>
    <row r="107" ht="14.25" customHeight="1" s="61"/>
    <row r="108" ht="14.25" customHeight="1" s="61"/>
    <row r="109" ht="14.25" customHeight="1" s="61"/>
    <row r="110" ht="14.25" customHeight="1" s="61"/>
    <row r="111" ht="14.25" customHeight="1" s="61"/>
    <row r="112" ht="14.25" customHeight="1" s="61"/>
    <row r="113" ht="14.25" customHeight="1" s="61"/>
    <row r="114" ht="14.25" customHeight="1" s="61"/>
    <row r="115" ht="14.25" customHeight="1" s="61"/>
    <row r="116" ht="14.25" customHeight="1" s="61"/>
    <row r="117" ht="14.25" customHeight="1" s="61"/>
    <row r="118" ht="14.25" customHeight="1" s="61"/>
    <row r="119" ht="14.25" customHeight="1" s="61"/>
    <row r="120" ht="14.25" customHeight="1" s="61"/>
    <row r="121" ht="14.25" customHeight="1" s="61"/>
    <row r="122" ht="14.25" customHeight="1" s="61"/>
    <row r="123" ht="14.25" customHeight="1" s="61"/>
    <row r="124" ht="14.25" customHeight="1" s="61"/>
    <row r="125" ht="14.25" customHeight="1" s="61"/>
    <row r="126" ht="14.25" customHeight="1" s="61"/>
    <row r="127" ht="14.25" customHeight="1" s="61"/>
    <row r="128" ht="14.25" customHeight="1" s="61"/>
    <row r="129" ht="14.25" customHeight="1" s="61"/>
    <row r="130" ht="14.25" customHeight="1" s="61"/>
    <row r="131" ht="14.25" customHeight="1" s="61"/>
    <row r="132" ht="14.25" customHeight="1" s="61"/>
    <row r="133" ht="14.25" customHeight="1" s="61"/>
    <row r="134" ht="14.25" customHeight="1" s="61"/>
    <row r="135" ht="14.25" customHeight="1" s="61"/>
    <row r="136" ht="14.25" customHeight="1" s="61"/>
    <row r="137" ht="14.25" customHeight="1" s="61"/>
    <row r="138" ht="14.25" customHeight="1" s="61"/>
    <row r="139" ht="14.25" customHeight="1" s="61"/>
    <row r="140" ht="14.25" customHeight="1" s="61"/>
    <row r="141" ht="14.25" customHeight="1" s="61"/>
    <row r="142" ht="14.25" customHeight="1" s="61"/>
    <row r="143" ht="14.25" customHeight="1" s="61"/>
    <row r="144" ht="14.25" customHeight="1" s="61"/>
    <row r="145" ht="14.25" customHeight="1" s="61"/>
    <row r="146" ht="14.25" customHeight="1" s="61"/>
    <row r="147" ht="14.25" customHeight="1" s="61"/>
    <row r="148" ht="14.25" customHeight="1" s="61"/>
    <row r="149" ht="14.25" customHeight="1" s="61"/>
    <row r="150" ht="14.25" customHeight="1" s="61"/>
    <row r="151" ht="14.25" customHeight="1" s="61"/>
    <row r="152" ht="14.25" customHeight="1" s="61"/>
    <row r="153" ht="14.25" customHeight="1" s="61"/>
    <row r="154" ht="14.25" customHeight="1" s="61"/>
    <row r="155" ht="14.25" customHeight="1" s="61"/>
    <row r="156" ht="14.25" customHeight="1" s="61"/>
    <row r="157" ht="14.25" customHeight="1" s="61"/>
    <row r="158" ht="14.25" customHeight="1" s="61"/>
    <row r="159" ht="14.25" customHeight="1" s="61"/>
    <row r="160" ht="14.25" customHeight="1" s="61"/>
    <row r="161" ht="14.25" customHeight="1" s="61"/>
    <row r="162" ht="14.25" customHeight="1" s="61"/>
    <row r="163" ht="14.25" customHeight="1" s="61"/>
    <row r="164" ht="14.25" customHeight="1" s="61"/>
    <row r="165" ht="14.25" customHeight="1" s="61"/>
    <row r="166" ht="14.25" customHeight="1" s="61"/>
    <row r="167" ht="14.25" customHeight="1" s="61"/>
    <row r="168" ht="14.25" customHeight="1" s="61"/>
    <row r="169" ht="14.25" customHeight="1" s="61"/>
    <row r="170" ht="14.25" customHeight="1" s="61"/>
    <row r="171" ht="14.25" customHeight="1" s="61"/>
    <row r="172" ht="14.25" customHeight="1" s="61"/>
    <row r="173" ht="14.25" customHeight="1" s="61"/>
    <row r="174" ht="14.25" customHeight="1" s="61"/>
    <row r="175" ht="14.25" customHeight="1" s="61"/>
    <row r="176" ht="14.25" customHeight="1" s="61"/>
    <row r="177" ht="14.25" customHeight="1" s="61"/>
    <row r="178" ht="14.25" customHeight="1" s="61"/>
    <row r="179" ht="14.25" customHeight="1" s="61"/>
    <row r="180" ht="14.25" customHeight="1" s="61"/>
    <row r="181" ht="14.25" customHeight="1" s="61"/>
    <row r="182" ht="14.25" customHeight="1" s="61"/>
    <row r="183" ht="14.25" customHeight="1" s="61"/>
    <row r="184" ht="14.25" customHeight="1" s="61"/>
    <row r="185" ht="14.25" customHeight="1" s="61"/>
    <row r="186" ht="14.25" customHeight="1" s="61"/>
    <row r="187" ht="14.25" customHeight="1" s="61"/>
    <row r="188" ht="14.25" customHeight="1" s="61"/>
    <row r="189" ht="14.25" customHeight="1" s="61"/>
    <row r="190" ht="14.25" customHeight="1" s="61"/>
    <row r="191" ht="14.25" customHeight="1" s="61"/>
    <row r="192" ht="14.25" customHeight="1" s="61"/>
    <row r="193" ht="14.25" customHeight="1" s="61"/>
    <row r="194" ht="14.25" customHeight="1" s="61"/>
    <row r="195" ht="14.25" customHeight="1" s="61"/>
    <row r="196" ht="14.25" customHeight="1" s="61"/>
    <row r="197" ht="14.25" customHeight="1" s="61"/>
    <row r="198" ht="14.25" customHeight="1" s="61"/>
    <row r="199" ht="14.25" customHeight="1" s="61"/>
    <row r="200" ht="14.25" customHeight="1" s="61"/>
    <row r="201" ht="14.25" customHeight="1" s="61"/>
    <row r="202" ht="14.25" customHeight="1" s="61"/>
    <row r="203" ht="14.25" customHeight="1" s="61"/>
    <row r="204" ht="14.25" customHeight="1" s="61"/>
    <row r="205" ht="14.25" customHeight="1" s="61"/>
    <row r="206" ht="14.25" customHeight="1" s="61"/>
    <row r="207" ht="14.25" customHeight="1" s="61"/>
    <row r="208" ht="14.25" customHeight="1" s="61"/>
    <row r="209" ht="14.25" customHeight="1" s="61"/>
    <row r="210" ht="14.25" customHeight="1" s="61"/>
    <row r="211" ht="14.25" customHeight="1" s="61"/>
    <row r="212" ht="14.25" customHeight="1" s="61"/>
    <row r="213" ht="14.25" customHeight="1" s="61"/>
    <row r="214" ht="14.25" customHeight="1" s="61"/>
    <row r="215" ht="14.25" customHeight="1" s="61"/>
    <row r="216" ht="14.25" customHeight="1" s="61"/>
    <row r="217" ht="14.25" customHeight="1" s="61"/>
    <row r="218" ht="14.25" customHeight="1" s="61"/>
    <row r="219" ht="14.25" customHeight="1" s="61"/>
    <row r="220" ht="14.25" customHeight="1" s="61"/>
    <row r="221" ht="14.25" customHeight="1" s="61"/>
    <row r="222" ht="14.25" customHeight="1" s="61"/>
    <row r="223" ht="14.25" customHeight="1" s="61"/>
    <row r="224" ht="14.25" customHeight="1" s="61"/>
    <row r="225" ht="14.25" customHeight="1" s="61"/>
    <row r="226" ht="14.25" customHeight="1" s="61"/>
    <row r="227" ht="14.25" customHeight="1" s="61"/>
    <row r="228" ht="14.25" customHeight="1" s="61"/>
    <row r="229" ht="14.25" customHeight="1" s="61"/>
    <row r="230" ht="14.25" customHeight="1" s="61"/>
    <row r="231" ht="14.25" customHeight="1" s="61"/>
    <row r="232" ht="14.25" customHeight="1" s="61"/>
    <row r="233" ht="14.25" customHeight="1" s="61"/>
    <row r="234" ht="14.25" customHeight="1" s="61"/>
    <row r="235" ht="14.25" customHeight="1" s="61"/>
    <row r="236" ht="14.25" customHeight="1" s="61"/>
    <row r="237" ht="14.25" customHeight="1" s="61"/>
    <row r="238" ht="14.25" customHeight="1" s="61"/>
    <row r="239" ht="14.25" customHeight="1" s="61"/>
    <row r="240" ht="14.25" customHeight="1" s="61"/>
    <row r="241" ht="14.25" customHeight="1" s="61"/>
    <row r="242" ht="14.25" customHeight="1" s="61"/>
    <row r="243" ht="14.25" customHeight="1" s="61"/>
    <row r="244" ht="14.25" customHeight="1" s="61"/>
    <row r="245" ht="14.25" customHeight="1" s="61"/>
    <row r="246" ht="14.25" customHeight="1" s="61"/>
    <row r="247" ht="14.25" customHeight="1" s="61"/>
    <row r="248" ht="14.25" customHeight="1" s="61"/>
    <row r="249" ht="14.25" customHeight="1" s="61"/>
    <row r="250" ht="14.25" customHeight="1" s="61"/>
    <row r="251" ht="14.25" customHeight="1" s="61"/>
    <row r="252" ht="14.25" customHeight="1" s="61"/>
    <row r="253" ht="14.25" customHeight="1" s="61"/>
    <row r="254" ht="14.25" customHeight="1" s="61"/>
    <row r="255" ht="14.25" customHeight="1" s="61"/>
    <row r="256" ht="14.25" customHeight="1" s="61"/>
    <row r="257" ht="14.25" customHeight="1" s="61"/>
    <row r="258" ht="14.25" customHeight="1" s="61"/>
    <row r="259" ht="14.25" customHeight="1" s="61"/>
    <row r="260" ht="14.25" customHeight="1" s="61"/>
    <row r="261" ht="14.25" customHeight="1" s="61"/>
    <row r="262" ht="14.25" customHeight="1" s="61"/>
    <row r="263" ht="14.25" customHeight="1" s="61"/>
    <row r="264" ht="14.25" customHeight="1" s="61"/>
    <row r="265" ht="14.25" customHeight="1" s="61"/>
    <row r="266" ht="14.25" customHeight="1" s="61"/>
    <row r="267" ht="14.25" customHeight="1" s="61"/>
    <row r="268" ht="14.25" customHeight="1" s="61"/>
    <row r="269" ht="14.25" customHeight="1" s="61"/>
    <row r="270" ht="14.25" customHeight="1" s="61"/>
    <row r="271" ht="14.25" customHeight="1" s="61"/>
    <row r="272" ht="14.25" customHeight="1" s="61"/>
    <row r="273" ht="14.25" customHeight="1" s="61"/>
    <row r="274" ht="14.25" customHeight="1" s="61"/>
    <row r="275" ht="14.25" customHeight="1" s="61"/>
    <row r="276" ht="14.25" customHeight="1" s="61"/>
    <row r="277" ht="14.25" customHeight="1" s="61"/>
    <row r="278" ht="14.25" customHeight="1" s="61"/>
    <row r="279" ht="14.25" customHeight="1" s="61"/>
    <row r="280" ht="14.25" customHeight="1" s="61"/>
    <row r="281" ht="14.25" customHeight="1" s="61"/>
    <row r="282" ht="14.25" customHeight="1" s="61"/>
    <row r="283" ht="14.25" customHeight="1" s="61"/>
    <row r="284" ht="14.25" customHeight="1" s="61"/>
    <row r="285" ht="14.25" customHeight="1" s="61"/>
    <row r="286" ht="14.25" customHeight="1" s="61"/>
    <row r="287" ht="14.25" customHeight="1" s="61"/>
    <row r="288" ht="14.25" customHeight="1" s="61"/>
    <row r="289" ht="14.25" customHeight="1" s="61"/>
    <row r="290" ht="14.25" customHeight="1" s="61"/>
    <row r="291" ht="14.25" customHeight="1" s="61"/>
    <row r="292" ht="14.25" customHeight="1" s="61"/>
    <row r="293" ht="14.25" customHeight="1" s="61"/>
    <row r="294" ht="14.25" customHeight="1" s="61"/>
    <row r="295" ht="14.25" customHeight="1" s="61"/>
    <row r="296" ht="14.25" customHeight="1" s="61"/>
    <row r="297" ht="14.25" customHeight="1" s="61"/>
    <row r="298" ht="14.25" customHeight="1" s="61"/>
    <row r="299" ht="14.25" customHeight="1" s="61"/>
    <row r="300" ht="14.25" customHeight="1" s="61"/>
    <row r="301" ht="14.25" customHeight="1" s="61"/>
    <row r="302" ht="14.25" customHeight="1" s="61"/>
    <row r="303" ht="14.25" customHeight="1" s="61"/>
    <row r="304" ht="14.25" customHeight="1" s="61"/>
    <row r="305" ht="14.25" customHeight="1" s="61"/>
    <row r="306" ht="14.25" customHeight="1" s="61"/>
    <row r="307" ht="14.25" customHeight="1" s="61"/>
    <row r="308" ht="14.25" customHeight="1" s="61"/>
    <row r="309" ht="14.25" customHeight="1" s="61"/>
    <row r="310" ht="14.25" customHeight="1" s="61"/>
    <row r="311" ht="14.25" customHeight="1" s="61"/>
    <row r="312" ht="14.25" customHeight="1" s="61"/>
    <row r="313" ht="14.25" customHeight="1" s="61"/>
    <row r="314" ht="14.25" customHeight="1" s="61"/>
    <row r="315" ht="14.25" customHeight="1" s="61"/>
    <row r="316" ht="14.25" customHeight="1" s="61"/>
    <row r="317" ht="14.25" customHeight="1" s="61"/>
    <row r="318" ht="14.25" customHeight="1" s="61"/>
    <row r="319" ht="14.25" customHeight="1" s="61"/>
    <row r="320" ht="14.25" customHeight="1" s="61"/>
    <row r="321" ht="14.25" customHeight="1" s="61"/>
    <row r="322" ht="14.25" customHeight="1" s="61"/>
    <row r="323" ht="14.25" customHeight="1" s="61"/>
    <row r="324" ht="14.25" customHeight="1" s="61"/>
    <row r="325" ht="14.25" customHeight="1" s="61"/>
    <row r="326" ht="14.25" customHeight="1" s="61"/>
    <row r="327" ht="14.25" customHeight="1" s="61"/>
    <row r="328" ht="14.25" customHeight="1" s="61"/>
    <row r="329" ht="14.25" customHeight="1" s="61"/>
    <row r="330" ht="14.25" customHeight="1" s="61"/>
    <row r="331" ht="14.25" customHeight="1" s="61"/>
    <row r="332" ht="14.25" customHeight="1" s="61"/>
    <row r="333" ht="14.25" customHeight="1" s="61"/>
    <row r="334" ht="14.25" customHeight="1" s="61"/>
    <row r="335" ht="14.25" customHeight="1" s="61"/>
    <row r="336" ht="14.25" customHeight="1" s="61"/>
    <row r="337" ht="14.25" customHeight="1" s="61"/>
    <row r="338" ht="14.25" customHeight="1" s="61"/>
    <row r="339" ht="14.25" customHeight="1" s="61"/>
    <row r="340" ht="14.25" customHeight="1" s="61"/>
    <row r="341" ht="14.25" customHeight="1" s="61"/>
    <row r="342" ht="14.25" customHeight="1" s="61"/>
    <row r="343" ht="14.25" customHeight="1" s="61"/>
    <row r="344" ht="14.25" customHeight="1" s="61"/>
    <row r="345" ht="14.25" customHeight="1" s="61"/>
    <row r="346" ht="14.25" customHeight="1" s="61"/>
    <row r="347" ht="14.25" customHeight="1" s="61"/>
    <row r="348" ht="14.25" customHeight="1" s="61"/>
    <row r="349" ht="14.25" customHeight="1" s="61"/>
    <row r="350" ht="14.25" customHeight="1" s="61"/>
    <row r="351" ht="14.25" customHeight="1" s="61"/>
    <row r="352" ht="14.25" customHeight="1" s="61"/>
    <row r="353" ht="14.25" customHeight="1" s="61"/>
    <row r="354" ht="14.25" customHeight="1" s="61"/>
    <row r="355" ht="14.25" customHeight="1" s="61"/>
    <row r="356" ht="14.25" customHeight="1" s="61"/>
    <row r="357" ht="14.25" customHeight="1" s="61"/>
    <row r="358" ht="14.25" customHeight="1" s="61"/>
    <row r="359" ht="14.25" customHeight="1" s="61"/>
    <row r="360" ht="14.25" customHeight="1" s="61"/>
    <row r="361" ht="14.25" customHeight="1" s="61"/>
    <row r="362" ht="14.25" customHeight="1" s="61"/>
    <row r="363" ht="14.25" customHeight="1" s="61"/>
    <row r="364" ht="14.25" customHeight="1" s="61"/>
    <row r="365" ht="14.25" customHeight="1" s="61"/>
    <row r="366" ht="14.25" customHeight="1" s="61"/>
    <row r="367" ht="14.25" customHeight="1" s="61"/>
    <row r="368" ht="14.25" customHeight="1" s="61"/>
    <row r="369" ht="14.25" customHeight="1" s="61"/>
    <row r="370" ht="14.25" customHeight="1" s="61"/>
    <row r="371" ht="14.25" customHeight="1" s="61"/>
    <row r="372" ht="14.25" customHeight="1" s="61"/>
    <row r="373" ht="14.25" customHeight="1" s="61"/>
    <row r="374" ht="14.25" customHeight="1" s="61"/>
    <row r="375" ht="14.25" customHeight="1" s="61"/>
    <row r="376" ht="14.25" customHeight="1" s="61"/>
    <row r="377" ht="14.25" customHeight="1" s="61"/>
    <row r="378" ht="14.25" customHeight="1" s="61"/>
    <row r="379" ht="14.25" customHeight="1" s="61"/>
    <row r="380" ht="14.25" customHeight="1" s="61"/>
    <row r="381" ht="14.25" customHeight="1" s="61"/>
    <row r="382" ht="14.25" customHeight="1" s="61"/>
    <row r="383" ht="14.25" customHeight="1" s="61"/>
    <row r="384" ht="14.25" customHeight="1" s="61"/>
    <row r="385" ht="14.25" customHeight="1" s="61"/>
    <row r="386" ht="14.25" customHeight="1" s="61"/>
    <row r="387" ht="14.25" customHeight="1" s="61"/>
    <row r="388" ht="14.25" customHeight="1" s="61"/>
    <row r="389" ht="14.25" customHeight="1" s="61"/>
    <row r="390" ht="14.25" customHeight="1" s="61"/>
    <row r="391" ht="14.25" customHeight="1" s="61"/>
    <row r="392" ht="14.25" customHeight="1" s="61"/>
    <row r="393" ht="14.25" customHeight="1" s="61"/>
    <row r="394" ht="14.25" customHeight="1" s="61"/>
    <row r="395" ht="14.25" customHeight="1" s="61"/>
    <row r="396" ht="14.25" customHeight="1" s="61"/>
    <row r="397" ht="14.25" customHeight="1" s="61"/>
    <row r="398" ht="14.25" customHeight="1" s="61"/>
    <row r="399" ht="14.25" customHeight="1" s="61"/>
    <row r="400" ht="14.25" customHeight="1" s="61"/>
    <row r="401" ht="14.25" customHeight="1" s="61"/>
    <row r="402" ht="14.25" customHeight="1" s="61"/>
    <row r="403" ht="14.25" customHeight="1" s="61"/>
    <row r="404" ht="14.25" customHeight="1" s="61"/>
    <row r="405" ht="14.25" customHeight="1" s="61"/>
    <row r="406" ht="14.25" customHeight="1" s="61"/>
    <row r="407" ht="14.25" customHeight="1" s="61"/>
    <row r="408" ht="14.25" customHeight="1" s="61"/>
    <row r="409" ht="14.25" customHeight="1" s="61"/>
    <row r="410" ht="14.25" customHeight="1" s="61"/>
    <row r="411" ht="14.25" customHeight="1" s="61"/>
    <row r="412" ht="14.25" customHeight="1" s="61"/>
    <row r="413" ht="14.25" customHeight="1" s="61"/>
    <row r="414" ht="14.25" customHeight="1" s="61"/>
    <row r="415" ht="14.25" customHeight="1" s="61"/>
    <row r="416" ht="14.25" customHeight="1" s="61"/>
    <row r="417" ht="14.25" customHeight="1" s="61"/>
    <row r="418" ht="14.25" customHeight="1" s="61"/>
    <row r="419" ht="14.25" customHeight="1" s="61"/>
    <row r="420" ht="14.25" customHeight="1" s="61"/>
    <row r="421" ht="14.25" customHeight="1" s="61"/>
    <row r="422" ht="14.25" customHeight="1" s="61"/>
    <row r="423" ht="14.25" customHeight="1" s="61"/>
    <row r="424" ht="14.25" customHeight="1" s="61"/>
    <row r="425" ht="14.25" customHeight="1" s="61"/>
    <row r="426" ht="14.25" customHeight="1" s="61"/>
    <row r="427" ht="14.25" customHeight="1" s="61"/>
    <row r="428" ht="14.25" customHeight="1" s="61"/>
    <row r="429" ht="14.25" customHeight="1" s="61"/>
    <row r="430" ht="14.25" customHeight="1" s="61"/>
    <row r="431" ht="14.25" customHeight="1" s="61"/>
    <row r="432" ht="14.25" customHeight="1" s="61"/>
    <row r="433" ht="14.25" customHeight="1" s="61"/>
    <row r="434" ht="14.25" customHeight="1" s="61"/>
    <row r="435" ht="14.25" customHeight="1" s="61"/>
    <row r="436" ht="14.25" customHeight="1" s="61"/>
    <row r="437" ht="14.25" customHeight="1" s="61"/>
    <row r="438" ht="14.25" customHeight="1" s="61"/>
    <row r="439" ht="14.25" customHeight="1" s="61"/>
    <row r="440" ht="14.25" customHeight="1" s="61"/>
    <row r="441" ht="14.25" customHeight="1" s="61"/>
    <row r="442" ht="14.25" customHeight="1" s="61"/>
    <row r="443" ht="14.25" customHeight="1" s="61"/>
    <row r="444" ht="14.25" customHeight="1" s="61"/>
    <row r="445" ht="14.25" customHeight="1" s="61"/>
    <row r="446" ht="14.25" customHeight="1" s="61"/>
    <row r="447" ht="14.25" customHeight="1" s="61"/>
    <row r="448" ht="14.25" customHeight="1" s="61"/>
    <row r="449" ht="14.25" customHeight="1" s="61"/>
    <row r="450" ht="14.25" customHeight="1" s="61"/>
    <row r="451" ht="14.25" customHeight="1" s="61"/>
    <row r="452" ht="14.25" customHeight="1" s="61"/>
    <row r="453" ht="14.25" customHeight="1" s="61"/>
    <row r="454" ht="14.25" customHeight="1" s="61"/>
    <row r="455" ht="14.25" customHeight="1" s="61"/>
    <row r="456" ht="14.25" customHeight="1" s="61"/>
    <row r="457" ht="14.25" customHeight="1" s="61"/>
    <row r="458" ht="14.25" customHeight="1" s="61"/>
    <row r="459" ht="14.25" customHeight="1" s="61"/>
    <row r="460" ht="14.25" customHeight="1" s="61"/>
    <row r="461" ht="14.25" customHeight="1" s="61"/>
    <row r="462" ht="14.25" customHeight="1" s="61"/>
    <row r="463" ht="14.25" customHeight="1" s="61"/>
    <row r="464" ht="14.25" customHeight="1" s="61"/>
    <row r="465" ht="14.25" customHeight="1" s="61"/>
    <row r="466" ht="14.25" customHeight="1" s="61"/>
    <row r="467" ht="14.25" customHeight="1" s="61"/>
    <row r="468" ht="14.25" customHeight="1" s="61"/>
    <row r="469" ht="14.25" customHeight="1" s="61"/>
    <row r="470" ht="14.25" customHeight="1" s="61"/>
    <row r="471" ht="14.25" customHeight="1" s="61"/>
    <row r="472" ht="14.25" customHeight="1" s="61"/>
    <row r="473" ht="14.25" customHeight="1" s="61"/>
    <row r="474" ht="14.25" customHeight="1" s="61"/>
    <row r="475" ht="14.25" customHeight="1" s="61"/>
    <row r="476" ht="14.25" customHeight="1" s="61"/>
    <row r="477" ht="14.25" customHeight="1" s="61"/>
    <row r="478" ht="14.25" customHeight="1" s="61"/>
    <row r="479" ht="14.25" customHeight="1" s="61"/>
    <row r="480" ht="14.25" customHeight="1" s="61"/>
    <row r="481" ht="14.25" customHeight="1" s="61"/>
    <row r="482" ht="14.25" customHeight="1" s="61"/>
    <row r="483" ht="14.25" customHeight="1" s="61"/>
    <row r="484" ht="14.25" customHeight="1" s="61"/>
    <row r="485" ht="14.25" customHeight="1" s="61"/>
    <row r="486" ht="14.25" customHeight="1" s="61"/>
    <row r="487" ht="14.25" customHeight="1" s="61"/>
    <row r="488" ht="14.25" customHeight="1" s="61"/>
    <row r="489" ht="14.25" customHeight="1" s="61"/>
    <row r="490" ht="14.25" customHeight="1" s="61"/>
    <row r="491" ht="14.25" customHeight="1" s="61"/>
    <row r="492" ht="14.25" customHeight="1" s="61"/>
    <row r="493" ht="14.25" customHeight="1" s="61"/>
    <row r="494" ht="14.25" customHeight="1" s="61"/>
    <row r="495" ht="14.25" customHeight="1" s="61"/>
    <row r="496" ht="14.25" customHeight="1" s="61"/>
    <row r="497" ht="14.25" customHeight="1" s="61"/>
    <row r="498" ht="14.25" customHeight="1" s="61"/>
    <row r="499" ht="14.25" customHeight="1" s="61"/>
    <row r="500" ht="14.25" customHeight="1" s="61"/>
    <row r="501" ht="14.25" customHeight="1" s="61"/>
    <row r="502" ht="14.25" customHeight="1" s="61"/>
    <row r="503" ht="14.25" customHeight="1" s="61"/>
    <row r="504" ht="14.25" customHeight="1" s="61"/>
    <row r="505" ht="14.25" customHeight="1" s="61"/>
    <row r="506" ht="14.25" customHeight="1" s="61"/>
    <row r="507" ht="14.25" customHeight="1" s="61"/>
    <row r="508" ht="14.25" customHeight="1" s="61"/>
    <row r="509" ht="14.25" customHeight="1" s="61"/>
    <row r="510" ht="14.25" customHeight="1" s="61"/>
    <row r="511" ht="14.25" customHeight="1" s="61"/>
    <row r="512" ht="14.25" customHeight="1" s="61"/>
    <row r="513" ht="14.25" customHeight="1" s="61"/>
    <row r="514" ht="14.25" customHeight="1" s="61"/>
    <row r="515" ht="14.25" customHeight="1" s="61"/>
    <row r="516" ht="14.25" customHeight="1" s="61"/>
    <row r="517" ht="14.25" customHeight="1" s="61"/>
    <row r="518" ht="14.25" customHeight="1" s="61"/>
    <row r="519" ht="14.25" customHeight="1" s="61"/>
    <row r="520" ht="14.25" customHeight="1" s="61"/>
    <row r="521" ht="14.25" customHeight="1" s="61"/>
    <row r="522" ht="14.25" customHeight="1" s="61"/>
    <row r="523" ht="14.25" customHeight="1" s="61"/>
    <row r="524" ht="14.25" customHeight="1" s="61"/>
    <row r="525" ht="14.25" customHeight="1" s="61"/>
    <row r="526" ht="14.25" customHeight="1" s="61"/>
    <row r="527" ht="14.25" customHeight="1" s="61"/>
    <row r="528" ht="14.25" customHeight="1" s="61"/>
    <row r="529" ht="14.25" customHeight="1" s="61"/>
    <row r="530" ht="14.25" customHeight="1" s="61"/>
    <row r="531" ht="14.25" customHeight="1" s="61"/>
    <row r="532" ht="14.25" customHeight="1" s="61"/>
    <row r="533" ht="14.25" customHeight="1" s="61"/>
    <row r="534" ht="14.25" customHeight="1" s="61"/>
    <row r="535" ht="14.25" customHeight="1" s="61"/>
    <row r="536" ht="14.25" customHeight="1" s="61"/>
    <row r="537" ht="14.25" customHeight="1" s="61"/>
    <row r="538" ht="14.25" customHeight="1" s="61"/>
    <row r="539" ht="14.25" customHeight="1" s="61"/>
    <row r="540" ht="14.25" customHeight="1" s="61"/>
    <row r="541" ht="14.25" customHeight="1" s="61"/>
    <row r="542" ht="14.25" customHeight="1" s="61"/>
    <row r="543" ht="14.25" customHeight="1" s="61"/>
    <row r="544" ht="14.25" customHeight="1" s="61"/>
    <row r="545" ht="14.25" customHeight="1" s="61"/>
    <row r="546" ht="14.25" customHeight="1" s="61"/>
    <row r="547" ht="14.25" customHeight="1" s="61"/>
    <row r="548" ht="14.25" customHeight="1" s="61"/>
    <row r="549" ht="14.25" customHeight="1" s="61"/>
    <row r="550" ht="14.25" customHeight="1" s="61"/>
    <row r="551" ht="14.25" customHeight="1" s="61"/>
    <row r="552" ht="14.25" customHeight="1" s="61"/>
    <row r="553" ht="14.25" customHeight="1" s="61"/>
    <row r="554" ht="14.25" customHeight="1" s="61"/>
    <row r="555" ht="14.25" customHeight="1" s="61"/>
    <row r="556" ht="14.25" customHeight="1" s="61"/>
    <row r="557" ht="14.25" customHeight="1" s="61"/>
    <row r="558" ht="14.25" customHeight="1" s="61"/>
    <row r="559" ht="14.25" customHeight="1" s="61"/>
    <row r="560" ht="14.25" customHeight="1" s="61"/>
    <row r="561" ht="14.25" customHeight="1" s="61"/>
    <row r="562" ht="14.25" customHeight="1" s="61"/>
    <row r="563" ht="14.25" customHeight="1" s="61"/>
    <row r="564" ht="14.25" customHeight="1" s="61"/>
    <row r="565" ht="14.25" customHeight="1" s="61"/>
    <row r="566" ht="14.25" customHeight="1" s="61"/>
    <row r="567" ht="14.25" customHeight="1" s="61"/>
    <row r="568" ht="14.25" customHeight="1" s="61"/>
    <row r="569" ht="14.25" customHeight="1" s="61"/>
    <row r="570" ht="14.25" customHeight="1" s="61"/>
    <row r="571" ht="14.25" customHeight="1" s="61"/>
    <row r="572" ht="14.25" customHeight="1" s="61"/>
    <row r="573" ht="14.25" customHeight="1" s="61"/>
    <row r="574" ht="14.25" customHeight="1" s="61"/>
    <row r="575" ht="14.25" customHeight="1" s="61"/>
    <row r="576" ht="14.25" customHeight="1" s="61"/>
    <row r="577" ht="14.25" customHeight="1" s="61"/>
    <row r="578" ht="14.25" customHeight="1" s="61"/>
    <row r="579" ht="14.25" customHeight="1" s="61"/>
    <row r="580" ht="14.25" customHeight="1" s="61"/>
    <row r="581" ht="14.25" customHeight="1" s="61"/>
    <row r="582" ht="14.25" customHeight="1" s="61"/>
    <row r="583" ht="14.25" customHeight="1" s="61"/>
    <row r="584" ht="14.25" customHeight="1" s="61"/>
    <row r="585" ht="14.25" customHeight="1" s="61"/>
    <row r="586" ht="14.25" customHeight="1" s="61"/>
    <row r="587" ht="14.25" customHeight="1" s="61"/>
    <row r="588" ht="14.25" customHeight="1" s="61"/>
    <row r="589" ht="14.25" customHeight="1" s="61"/>
    <row r="590" ht="14.25" customHeight="1" s="61"/>
    <row r="591" ht="14.25" customHeight="1" s="61"/>
    <row r="592" ht="14.25" customHeight="1" s="61"/>
    <row r="593" ht="14.25" customHeight="1" s="61"/>
    <row r="594" ht="14.25" customHeight="1" s="61"/>
    <row r="595" ht="14.25" customHeight="1" s="61"/>
    <row r="596" ht="14.25" customHeight="1" s="61"/>
    <row r="597" ht="14.25" customHeight="1" s="61"/>
    <row r="598" ht="14.25" customHeight="1" s="61"/>
    <row r="599" ht="14.25" customHeight="1" s="61"/>
    <row r="600" ht="14.25" customHeight="1" s="61"/>
    <row r="601" ht="14.25" customHeight="1" s="61"/>
    <row r="602" ht="14.25" customHeight="1" s="61"/>
    <row r="603" ht="14.25" customHeight="1" s="61"/>
    <row r="604" ht="14.25" customHeight="1" s="61"/>
    <row r="605" ht="14.25" customHeight="1" s="61"/>
    <row r="606" ht="14.25" customHeight="1" s="61"/>
    <row r="607" ht="14.25" customHeight="1" s="61"/>
    <row r="608" ht="14.25" customHeight="1" s="61"/>
    <row r="609" ht="14.25" customHeight="1" s="61"/>
    <row r="610" ht="14.25" customHeight="1" s="61"/>
    <row r="611" ht="14.25" customHeight="1" s="61"/>
    <row r="612" ht="14.25" customHeight="1" s="61"/>
    <row r="613" ht="14.25" customHeight="1" s="61"/>
    <row r="614" ht="14.25" customHeight="1" s="61"/>
    <row r="615" ht="14.25" customHeight="1" s="61"/>
    <row r="616" ht="14.25" customHeight="1" s="61"/>
    <row r="617" ht="14.25" customHeight="1" s="61"/>
    <row r="618" ht="14.25" customHeight="1" s="61"/>
    <row r="619" ht="14.25" customHeight="1" s="61"/>
    <row r="620" ht="14.25" customHeight="1" s="61"/>
    <row r="621" ht="14.25" customHeight="1" s="61"/>
    <row r="622" ht="14.25" customHeight="1" s="61"/>
    <row r="623" ht="14.25" customHeight="1" s="61"/>
    <row r="624" ht="14.25" customHeight="1" s="61"/>
    <row r="625" ht="14.25" customHeight="1" s="61"/>
    <row r="626" ht="14.25" customHeight="1" s="61"/>
    <row r="627" ht="14.25" customHeight="1" s="61"/>
    <row r="628" ht="14.25" customHeight="1" s="61"/>
    <row r="629" ht="14.25" customHeight="1" s="61"/>
    <row r="630" ht="14.25" customHeight="1" s="61"/>
    <row r="631" ht="14.25" customHeight="1" s="61"/>
    <row r="632" ht="14.25" customHeight="1" s="61"/>
    <row r="633" ht="14.25" customHeight="1" s="61"/>
    <row r="634" ht="14.25" customHeight="1" s="61"/>
    <row r="635" ht="14.25" customHeight="1" s="61"/>
    <row r="636" ht="14.25" customHeight="1" s="61"/>
    <row r="637" ht="14.25" customHeight="1" s="61"/>
    <row r="638" ht="14.25" customHeight="1" s="61"/>
    <row r="639" ht="14.25" customHeight="1" s="61"/>
    <row r="640" ht="14.25" customHeight="1" s="61"/>
    <row r="641" ht="14.25" customHeight="1" s="61"/>
    <row r="642" ht="14.25" customHeight="1" s="61"/>
    <row r="643" ht="14.25" customHeight="1" s="61"/>
    <row r="644" ht="14.25" customHeight="1" s="61"/>
    <row r="645" ht="14.25" customHeight="1" s="61"/>
    <row r="646" ht="14.25" customHeight="1" s="61"/>
    <row r="647" ht="14.25" customHeight="1" s="61"/>
    <row r="648" ht="14.25" customHeight="1" s="61"/>
    <row r="649" ht="14.25" customHeight="1" s="61"/>
    <row r="650" ht="14.25" customHeight="1" s="61"/>
    <row r="651" ht="14.25" customHeight="1" s="61"/>
    <row r="652" ht="14.25" customHeight="1" s="61"/>
    <row r="653" ht="14.25" customHeight="1" s="61"/>
    <row r="654" ht="14.25" customHeight="1" s="61"/>
    <row r="655" ht="14.25" customHeight="1" s="61"/>
    <row r="656" ht="14.25" customHeight="1" s="61"/>
    <row r="657" ht="14.25" customHeight="1" s="61"/>
    <row r="658" ht="14.25" customHeight="1" s="61"/>
    <row r="659" ht="14.25" customHeight="1" s="61"/>
    <row r="660" ht="14.25" customHeight="1" s="61"/>
    <row r="661" ht="14.25" customHeight="1" s="61"/>
    <row r="662" ht="14.25" customHeight="1" s="61"/>
    <row r="663" ht="14.25" customHeight="1" s="61"/>
    <row r="664" ht="14.25" customHeight="1" s="61"/>
    <row r="665" ht="14.25" customHeight="1" s="61"/>
    <row r="666" ht="14.25" customHeight="1" s="61"/>
    <row r="667" ht="14.25" customHeight="1" s="61"/>
    <row r="668" ht="14.25" customHeight="1" s="61"/>
    <row r="669" ht="14.25" customHeight="1" s="61"/>
    <row r="670" ht="14.25" customHeight="1" s="61"/>
    <row r="671" ht="14.25" customHeight="1" s="61"/>
    <row r="672" ht="14.25" customHeight="1" s="61"/>
    <row r="673" ht="14.25" customHeight="1" s="61"/>
    <row r="674" ht="14.25" customHeight="1" s="61"/>
    <row r="675" ht="14.25" customHeight="1" s="61"/>
    <row r="676" ht="14.25" customHeight="1" s="61"/>
    <row r="677" ht="14.25" customHeight="1" s="61"/>
    <row r="678" ht="14.25" customHeight="1" s="61"/>
    <row r="679" ht="14.25" customHeight="1" s="61"/>
    <row r="680" ht="14.25" customHeight="1" s="61"/>
    <row r="681" ht="14.25" customHeight="1" s="61"/>
    <row r="682" ht="14.25" customHeight="1" s="61"/>
    <row r="683" ht="14.25" customHeight="1" s="61"/>
    <row r="684" ht="14.25" customHeight="1" s="61"/>
    <row r="685" ht="14.25" customHeight="1" s="61"/>
    <row r="686" ht="14.25" customHeight="1" s="61"/>
    <row r="687" ht="14.25" customHeight="1" s="61"/>
    <row r="688" ht="14.25" customHeight="1" s="61"/>
    <row r="689" ht="14.25" customHeight="1" s="61"/>
    <row r="690" ht="14.25" customHeight="1" s="61"/>
    <row r="691" ht="14.25" customHeight="1" s="61"/>
    <row r="692" ht="14.25" customHeight="1" s="61"/>
    <row r="693" ht="14.25" customHeight="1" s="61"/>
    <row r="694" ht="14.25" customHeight="1" s="61"/>
    <row r="695" ht="14.25" customHeight="1" s="61"/>
    <row r="696" ht="14.25" customHeight="1" s="61"/>
    <row r="697" ht="14.25" customHeight="1" s="61"/>
    <row r="698" ht="14.25" customHeight="1" s="61"/>
    <row r="699" ht="14.25" customHeight="1" s="61"/>
    <row r="700" ht="14.25" customHeight="1" s="61"/>
    <row r="701" ht="14.25" customHeight="1" s="61"/>
    <row r="702" ht="14.25" customHeight="1" s="61"/>
    <row r="703" ht="14.25" customHeight="1" s="61"/>
    <row r="704" ht="14.25" customHeight="1" s="61"/>
    <row r="705" ht="14.25" customHeight="1" s="61"/>
    <row r="706" ht="14.25" customHeight="1" s="61"/>
    <row r="707" ht="14.25" customHeight="1" s="61"/>
    <row r="708" ht="14.25" customHeight="1" s="61"/>
    <row r="709" ht="14.25" customHeight="1" s="61"/>
    <row r="710" ht="14.25" customHeight="1" s="61"/>
    <row r="711" ht="14.25" customHeight="1" s="61"/>
    <row r="712" ht="14.25" customHeight="1" s="61"/>
    <row r="713" ht="14.25" customHeight="1" s="61"/>
    <row r="714" ht="14.25" customHeight="1" s="61"/>
    <row r="715" ht="14.25" customHeight="1" s="61"/>
    <row r="716" ht="14.25" customHeight="1" s="61"/>
    <row r="717" ht="14.25" customHeight="1" s="61"/>
    <row r="718" ht="14.25" customHeight="1" s="61"/>
    <row r="719" ht="14.25" customHeight="1" s="61"/>
    <row r="720" ht="14.25" customHeight="1" s="61"/>
    <row r="721" ht="14.25" customHeight="1" s="61"/>
    <row r="722" ht="14.25" customHeight="1" s="61"/>
    <row r="723" ht="14.25" customHeight="1" s="61"/>
    <row r="724" ht="14.25" customHeight="1" s="61"/>
    <row r="725" ht="14.25" customHeight="1" s="61"/>
    <row r="726" ht="14.25" customHeight="1" s="61"/>
    <row r="727" ht="14.25" customHeight="1" s="61"/>
    <row r="728" ht="14.25" customHeight="1" s="61"/>
    <row r="729" ht="14.25" customHeight="1" s="61"/>
    <row r="730" ht="14.25" customHeight="1" s="61"/>
    <row r="731" ht="14.25" customHeight="1" s="61"/>
    <row r="732" ht="14.25" customHeight="1" s="61"/>
    <row r="733" ht="14.25" customHeight="1" s="61"/>
    <row r="734" ht="14.25" customHeight="1" s="61"/>
    <row r="735" ht="14.25" customHeight="1" s="61"/>
    <row r="736" ht="14.25" customHeight="1" s="61"/>
    <row r="737" ht="14.25" customHeight="1" s="61"/>
    <row r="738" ht="14.25" customHeight="1" s="61"/>
    <row r="739" ht="14.25" customHeight="1" s="61"/>
    <row r="740" ht="14.25" customHeight="1" s="61"/>
    <row r="741" ht="14.25" customHeight="1" s="61"/>
    <row r="742" ht="14.25" customHeight="1" s="61"/>
    <row r="743" ht="14.25" customHeight="1" s="61"/>
    <row r="744" ht="14.25" customHeight="1" s="61"/>
    <row r="745" ht="14.25" customHeight="1" s="61"/>
    <row r="746" ht="14.25" customHeight="1" s="61"/>
    <row r="747" ht="14.25" customHeight="1" s="61"/>
    <row r="748" ht="14.25" customHeight="1" s="61"/>
    <row r="749" ht="14.25" customHeight="1" s="61"/>
    <row r="750" ht="14.25" customHeight="1" s="61"/>
    <row r="751" ht="14.25" customHeight="1" s="61"/>
    <row r="752" ht="14.25" customHeight="1" s="61"/>
    <row r="753" ht="14.25" customHeight="1" s="61"/>
    <row r="754" ht="14.25" customHeight="1" s="61"/>
    <row r="755" ht="14.25" customHeight="1" s="61"/>
    <row r="756" ht="14.25" customHeight="1" s="61"/>
    <row r="757" ht="14.25" customHeight="1" s="61"/>
    <row r="758" ht="14.25" customHeight="1" s="61"/>
    <row r="759" ht="14.25" customHeight="1" s="61"/>
    <row r="760" ht="14.25" customHeight="1" s="61"/>
    <row r="761" ht="14.25" customHeight="1" s="61"/>
    <row r="762" ht="14.25" customHeight="1" s="61"/>
    <row r="763" ht="14.25" customHeight="1" s="61"/>
    <row r="764" ht="14.25" customHeight="1" s="61"/>
    <row r="765" ht="14.25" customHeight="1" s="61"/>
    <row r="766" ht="14.25" customHeight="1" s="61"/>
    <row r="767" ht="14.25" customHeight="1" s="61"/>
    <row r="768" ht="14.25" customHeight="1" s="61"/>
    <row r="769" ht="14.25" customHeight="1" s="61"/>
    <row r="770" ht="14.25" customHeight="1" s="61"/>
    <row r="771" ht="14.25" customHeight="1" s="61"/>
    <row r="772" ht="14.25" customHeight="1" s="61"/>
    <row r="773" ht="14.25" customHeight="1" s="61"/>
    <row r="774" ht="14.25" customHeight="1" s="61"/>
    <row r="775" ht="14.25" customHeight="1" s="61"/>
    <row r="776" ht="14.25" customHeight="1" s="61"/>
    <row r="777" ht="14.25" customHeight="1" s="61"/>
    <row r="778" ht="14.25" customHeight="1" s="61"/>
    <row r="779" ht="14.25" customHeight="1" s="61"/>
    <row r="780" ht="14.25" customHeight="1" s="61"/>
    <row r="781" ht="14.25" customHeight="1" s="61"/>
    <row r="782" ht="14.25" customHeight="1" s="61"/>
    <row r="783" ht="14.25" customHeight="1" s="61"/>
    <row r="784" ht="14.25" customHeight="1" s="61"/>
    <row r="785" ht="14.25" customHeight="1" s="61"/>
    <row r="786" ht="14.25" customHeight="1" s="61"/>
    <row r="787" ht="14.25" customHeight="1" s="61"/>
    <row r="788" ht="14.25" customHeight="1" s="61"/>
    <row r="789" ht="14.25" customHeight="1" s="61"/>
    <row r="790" ht="14.25" customHeight="1" s="61"/>
    <row r="791" ht="14.25" customHeight="1" s="61"/>
    <row r="792" ht="14.25" customHeight="1" s="61"/>
    <row r="793" ht="14.25" customHeight="1" s="61"/>
    <row r="794" ht="14.25" customHeight="1" s="61"/>
    <row r="795" ht="14.25" customHeight="1" s="61"/>
    <row r="796" ht="14.25" customHeight="1" s="61"/>
    <row r="797" ht="14.25" customHeight="1" s="61"/>
    <row r="798" ht="14.25" customHeight="1" s="61"/>
    <row r="799" ht="14.25" customHeight="1" s="61"/>
    <row r="800" ht="14.25" customHeight="1" s="61"/>
    <row r="801" ht="14.25" customHeight="1" s="61"/>
    <row r="802" ht="14.25" customHeight="1" s="61"/>
    <row r="803" ht="14.25" customHeight="1" s="61"/>
    <row r="804" ht="14.25" customHeight="1" s="61"/>
    <row r="805" ht="14.25" customHeight="1" s="61"/>
    <row r="806" ht="14.25" customHeight="1" s="61"/>
    <row r="807" ht="14.25" customHeight="1" s="61"/>
    <row r="808" ht="14.25" customHeight="1" s="61"/>
    <row r="809" ht="14.25" customHeight="1" s="61"/>
    <row r="810" ht="14.25" customHeight="1" s="61"/>
    <row r="811" ht="14.25" customHeight="1" s="61"/>
    <row r="812" ht="14.25" customHeight="1" s="61"/>
    <row r="813" ht="14.25" customHeight="1" s="61"/>
    <row r="814" ht="14.25" customHeight="1" s="61"/>
    <row r="815" ht="14.25" customHeight="1" s="61"/>
    <row r="816" ht="14.25" customHeight="1" s="61"/>
    <row r="817" ht="14.25" customHeight="1" s="61"/>
    <row r="818" ht="14.25" customHeight="1" s="61"/>
    <row r="819" ht="14.25" customHeight="1" s="61"/>
    <row r="820" ht="14.25" customHeight="1" s="61"/>
    <row r="821" ht="14.25" customHeight="1" s="61"/>
    <row r="822" ht="14.25" customHeight="1" s="61"/>
    <row r="823" ht="14.25" customHeight="1" s="61"/>
    <row r="824" ht="14.25" customHeight="1" s="61"/>
    <row r="825" ht="14.25" customHeight="1" s="61"/>
    <row r="826" ht="14.25" customHeight="1" s="61"/>
    <row r="827" ht="14.25" customHeight="1" s="61"/>
    <row r="828" ht="14.25" customHeight="1" s="61"/>
    <row r="829" ht="14.25" customHeight="1" s="61"/>
    <row r="830" ht="14.25" customHeight="1" s="61"/>
    <row r="831" ht="14.25" customHeight="1" s="61"/>
    <row r="832" ht="14.25" customHeight="1" s="61"/>
    <row r="833" ht="14.25" customHeight="1" s="61"/>
    <row r="834" ht="14.25" customHeight="1" s="61"/>
    <row r="835" ht="14.25" customHeight="1" s="61"/>
    <row r="836" ht="14.25" customHeight="1" s="61"/>
    <row r="837" ht="14.25" customHeight="1" s="61"/>
    <row r="838" ht="14.25" customHeight="1" s="61"/>
    <row r="839" ht="14.25" customHeight="1" s="61"/>
    <row r="840" ht="14.25" customHeight="1" s="61"/>
    <row r="841" ht="14.25" customHeight="1" s="61"/>
    <row r="842" ht="14.25" customHeight="1" s="61"/>
    <row r="843" ht="14.25" customHeight="1" s="61"/>
    <row r="844" ht="14.25" customHeight="1" s="61"/>
    <row r="845" ht="14.25" customHeight="1" s="61"/>
    <row r="846" ht="14.25" customHeight="1" s="61"/>
    <row r="847" ht="14.25" customHeight="1" s="61"/>
    <row r="848" ht="14.25" customHeight="1" s="61"/>
    <row r="849" ht="14.25" customHeight="1" s="61"/>
    <row r="850" ht="14.25" customHeight="1" s="61"/>
    <row r="851" ht="14.25" customHeight="1" s="61"/>
    <row r="852" ht="14.25" customHeight="1" s="61"/>
    <row r="853" ht="14.25" customHeight="1" s="61"/>
    <row r="854" ht="14.25" customHeight="1" s="61"/>
    <row r="855" ht="14.25" customHeight="1" s="61"/>
    <row r="856" ht="14.25" customHeight="1" s="61"/>
    <row r="857" ht="14.25" customHeight="1" s="61"/>
    <row r="858" ht="14.25" customHeight="1" s="61"/>
    <row r="859" ht="14.25" customHeight="1" s="61"/>
    <row r="860" ht="14.25" customHeight="1" s="61"/>
    <row r="861" ht="14.25" customHeight="1" s="61"/>
    <row r="862" ht="14.25" customHeight="1" s="61"/>
    <row r="863" ht="14.25" customHeight="1" s="61"/>
    <row r="864" ht="14.25" customHeight="1" s="61"/>
    <row r="865" ht="14.25" customHeight="1" s="61"/>
    <row r="866" ht="14.25" customHeight="1" s="61"/>
    <row r="867" ht="14.25" customHeight="1" s="61"/>
    <row r="868" ht="14.25" customHeight="1" s="61"/>
    <row r="869" ht="14.25" customHeight="1" s="61"/>
    <row r="870" ht="14.25" customHeight="1" s="61"/>
    <row r="871" ht="14.25" customHeight="1" s="61"/>
    <row r="872" ht="14.25" customHeight="1" s="61"/>
    <row r="873" ht="14.25" customHeight="1" s="61"/>
    <row r="874" ht="14.25" customHeight="1" s="61"/>
    <row r="875" ht="14.25" customHeight="1" s="61"/>
    <row r="876" ht="14.25" customHeight="1" s="61"/>
    <row r="877" ht="14.25" customHeight="1" s="61"/>
    <row r="878" ht="14.25" customHeight="1" s="61"/>
    <row r="879" ht="14.25" customHeight="1" s="61"/>
    <row r="880" ht="14.25" customHeight="1" s="61"/>
    <row r="881" ht="14.25" customHeight="1" s="61"/>
    <row r="882" ht="14.25" customHeight="1" s="61"/>
    <row r="883" ht="14.25" customHeight="1" s="61"/>
    <row r="884" ht="14.25" customHeight="1" s="61"/>
    <row r="885" ht="14.25" customHeight="1" s="61"/>
    <row r="886" ht="14.25" customHeight="1" s="61"/>
    <row r="887" ht="14.25" customHeight="1" s="61"/>
    <row r="888" ht="14.25" customHeight="1" s="61"/>
    <row r="889" ht="14.25" customHeight="1" s="61"/>
    <row r="890" ht="14.25" customHeight="1" s="61"/>
    <row r="891" ht="14.25" customHeight="1" s="61"/>
    <row r="892" ht="14.25" customHeight="1" s="61"/>
    <row r="893" ht="14.25" customHeight="1" s="61"/>
    <row r="894" ht="14.25" customHeight="1" s="61"/>
    <row r="895" ht="14.25" customHeight="1" s="61"/>
    <row r="896" ht="14.25" customHeight="1" s="61"/>
    <row r="897" ht="14.25" customHeight="1" s="61"/>
    <row r="898" ht="14.25" customHeight="1" s="61"/>
    <row r="899" ht="14.25" customHeight="1" s="61"/>
    <row r="900" ht="14.25" customHeight="1" s="61"/>
    <row r="901" ht="14.25" customHeight="1" s="61"/>
    <row r="902" ht="14.25" customHeight="1" s="61"/>
    <row r="903" ht="14.25" customHeight="1" s="61"/>
    <row r="904" ht="14.25" customHeight="1" s="61"/>
    <row r="905" ht="14.25" customHeight="1" s="61"/>
    <row r="906" ht="14.25" customHeight="1" s="61"/>
    <row r="907" ht="14.25" customHeight="1" s="61"/>
    <row r="908" ht="14.25" customHeight="1" s="61"/>
    <row r="909" ht="14.25" customHeight="1" s="61"/>
    <row r="910" ht="14.25" customHeight="1" s="61"/>
    <row r="911" ht="14.25" customHeight="1" s="61"/>
    <row r="912" ht="14.25" customHeight="1" s="61"/>
    <row r="913" ht="14.25" customHeight="1" s="61"/>
    <row r="914" ht="14.25" customHeight="1" s="61"/>
    <row r="915" ht="14.25" customHeight="1" s="61"/>
    <row r="916" ht="14.25" customHeight="1" s="61"/>
    <row r="917" ht="14.25" customHeight="1" s="61"/>
    <row r="918" ht="14.25" customHeight="1" s="61"/>
    <row r="919" ht="14.25" customHeight="1" s="61"/>
    <row r="920" ht="14.25" customHeight="1" s="61"/>
    <row r="921" ht="14.25" customHeight="1" s="61"/>
    <row r="922" ht="14.25" customHeight="1" s="61"/>
    <row r="923" ht="14.25" customHeight="1" s="61"/>
    <row r="924" ht="14.25" customHeight="1" s="61"/>
    <row r="925" ht="14.25" customHeight="1" s="61"/>
    <row r="926" ht="14.25" customHeight="1" s="61"/>
    <row r="927" ht="14.25" customHeight="1" s="61"/>
    <row r="928" ht="14.25" customHeight="1" s="61"/>
    <row r="929" ht="14.25" customHeight="1" s="61"/>
    <row r="930" ht="14.25" customHeight="1" s="61"/>
    <row r="931" ht="14.25" customHeight="1" s="61"/>
    <row r="932" ht="14.25" customHeight="1" s="61"/>
    <row r="933" ht="14.25" customHeight="1" s="61"/>
    <row r="934" ht="14.25" customHeight="1" s="61"/>
    <row r="935" ht="14.25" customHeight="1" s="61"/>
    <row r="936" ht="14.25" customHeight="1" s="61"/>
    <row r="937" ht="14.25" customHeight="1" s="61"/>
    <row r="938" ht="14.25" customHeight="1" s="61"/>
    <row r="939" ht="14.25" customHeight="1" s="61"/>
    <row r="940" ht="14.25" customHeight="1" s="61"/>
    <row r="941" ht="14.25" customHeight="1" s="61"/>
    <row r="942" ht="14.25" customHeight="1" s="61"/>
    <row r="943" ht="14.25" customHeight="1" s="61"/>
    <row r="944" ht="14.25" customHeight="1" s="61"/>
    <row r="945" ht="14.25" customHeight="1" s="61"/>
    <row r="946" ht="14.25" customHeight="1" s="61"/>
    <row r="947" ht="14.25" customHeight="1" s="61"/>
    <row r="948" ht="14.25" customHeight="1" s="61"/>
    <row r="949" ht="14.25" customHeight="1" s="61"/>
    <row r="950" ht="14.25" customHeight="1" s="61"/>
    <row r="951" ht="14.25" customHeight="1" s="61"/>
    <row r="952" ht="14.25" customHeight="1" s="61"/>
    <row r="953" ht="14.25" customHeight="1" s="61"/>
    <row r="954" ht="14.25" customHeight="1" s="61"/>
    <row r="955" ht="14.25" customHeight="1" s="61"/>
    <row r="956" ht="14.25" customHeight="1" s="61"/>
    <row r="957" ht="14.25" customHeight="1" s="61"/>
    <row r="958" ht="14.25" customHeight="1" s="61"/>
    <row r="959" ht="14.25" customHeight="1" s="61"/>
    <row r="960" ht="14.25" customHeight="1" s="61"/>
    <row r="961" ht="14.25" customHeight="1" s="61"/>
    <row r="962" ht="14.25" customHeight="1" s="61"/>
    <row r="963" ht="14.25" customHeight="1" s="61"/>
    <row r="964" ht="14.25" customHeight="1" s="61"/>
    <row r="965" ht="14.25" customHeight="1" s="61"/>
    <row r="966" ht="14.25" customHeight="1" s="61"/>
    <row r="967" ht="14.25" customHeight="1" s="61"/>
    <row r="968" ht="14.25" customHeight="1" s="61"/>
    <row r="969" ht="14.25" customHeight="1" s="61"/>
    <row r="970" ht="14.25" customHeight="1" s="61"/>
    <row r="971" ht="14.25" customHeight="1" s="61"/>
    <row r="972" ht="14.25" customHeight="1" s="61"/>
    <row r="973" ht="14.25" customHeight="1" s="61"/>
    <row r="974" ht="14.25" customHeight="1" s="61"/>
    <row r="975" ht="14.25" customHeight="1" s="61"/>
    <row r="976" ht="14.25" customHeight="1" s="61"/>
    <row r="977" ht="14.25" customHeight="1" s="61"/>
    <row r="978" ht="14.25" customHeight="1" s="61"/>
    <row r="979" ht="14.25" customHeight="1" s="61"/>
    <row r="980" ht="14.25" customHeight="1" s="61"/>
    <row r="981" ht="14.25" customHeight="1" s="61"/>
    <row r="982" ht="14.25" customHeight="1" s="61"/>
    <row r="983" ht="14.25" customHeight="1" s="61"/>
    <row r="984" ht="14.25" customHeight="1" s="61"/>
    <row r="985" ht="14.25" customHeight="1" s="61"/>
    <row r="986" ht="14.25" customHeight="1" s="61"/>
    <row r="987" ht="14.25" customHeight="1" s="61"/>
    <row r="988" ht="14.25" customHeight="1" s="61"/>
    <row r="989" ht="14.25" customHeight="1" s="61"/>
    <row r="990" ht="14.25" customHeight="1" s="61"/>
    <row r="991" ht="14.25" customHeight="1" s="61"/>
    <row r="992" ht="14.25" customHeight="1" s="61"/>
    <row r="993" ht="14.25" customHeight="1" s="61"/>
    <row r="994" ht="14.25" customHeight="1" s="61"/>
    <row r="995" ht="14.25" customHeight="1" s="61"/>
    <row r="996" ht="14.25" customHeight="1" s="61"/>
    <row r="997" ht="14.25" customHeight="1" s="61"/>
    <row r="998" ht="14.25" customHeight="1" s="61"/>
    <row r="999" ht="14.25" customHeight="1" s="61"/>
    <row r="1000" ht="14.25" customHeight="1" s="61"/>
  </sheetData>
  <mergeCells count="40">
    <mergeCell ref="F15:F16"/>
    <mergeCell ref="E5:E6"/>
    <mergeCell ref="G23:G24"/>
    <mergeCell ref="E13:E14"/>
    <mergeCell ref="G13:G14"/>
    <mergeCell ref="F3:F4"/>
    <mergeCell ref="G7:G8"/>
    <mergeCell ref="E29:E30"/>
    <mergeCell ref="E23:E24"/>
    <mergeCell ref="F5:F6"/>
    <mergeCell ref="F21:F22"/>
    <mergeCell ref="E35:E36"/>
    <mergeCell ref="F35:F36"/>
    <mergeCell ref="G3:G4"/>
    <mergeCell ref="E15:E16"/>
    <mergeCell ref="G37:G38"/>
    <mergeCell ref="G15:G16"/>
    <mergeCell ref="F23:F24"/>
    <mergeCell ref="E11:E12"/>
    <mergeCell ref="E31:E32"/>
    <mergeCell ref="G29:G30"/>
    <mergeCell ref="G5:G6"/>
    <mergeCell ref="F13:F14"/>
    <mergeCell ref="F31:F32"/>
    <mergeCell ref="E27:E28"/>
    <mergeCell ref="F27:F28"/>
    <mergeCell ref="E7:E8"/>
    <mergeCell ref="F37:F38"/>
    <mergeCell ref="F11:F12"/>
    <mergeCell ref="G35:G36"/>
    <mergeCell ref="F29:F30"/>
    <mergeCell ref="G27:G28"/>
    <mergeCell ref="E3:E4"/>
    <mergeCell ref="E21:E22"/>
    <mergeCell ref="G21:G22"/>
    <mergeCell ref="E37:E38"/>
    <mergeCell ref="F7:F8"/>
    <mergeCell ref="G11:G12"/>
    <mergeCell ref="G31:G32"/>
    <mergeCell ref="E1:G1"/>
  </mergeCells>
  <pageMargins left="0.7" right="0.7" top="0.75" bottom="0.75" header="0" footer="0"/>
  <pageSetup orientation="landscape" paperSize="8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François-xavier Haye</dc:creator>
  <dcterms:created xsi:type="dcterms:W3CDTF">2024-06-17T11:57:03Z</dcterms:created>
  <dcterms:modified xsi:type="dcterms:W3CDTF">2026-10-30T16:01:50Z</dcterms:modified>
</cp:coreProperties>
</file>