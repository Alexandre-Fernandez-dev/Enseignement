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Copy of Feuil1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jkWPaPNfbSjFppci4/Efn+oMy69J20IUUhQa5pU4ANc="/>
    </ext>
  </extLst>
</workbook>
</file>

<file path=xl/sharedStrings.xml><?xml version="1.0" encoding="utf-8"?>
<sst xmlns="http://schemas.openxmlformats.org/spreadsheetml/2006/main" count="318" uniqueCount="112">
  <si>
    <t>Semaine</t>
  </si>
  <si>
    <t>Cours en classe entière (3h/semaine)</t>
  </si>
  <si>
    <t>Fiche calcul 
(en demi-groupe 1h/semaine)</t>
  </si>
  <si>
    <t>AP (1h en groupe à eff variables)</t>
  </si>
  <si>
    <t xml:space="preserve">Questions flashs </t>
  </si>
  <si>
    <t>Lundi</t>
  </si>
  <si>
    <t>Jeudi</t>
  </si>
  <si>
    <t>Vendredi</t>
  </si>
  <si>
    <t>Vecteurs partie 1</t>
  </si>
  <si>
    <t xml:space="preserve">équations </t>
  </si>
  <si>
    <t>Test AP =&gt; constitution de 3 groupes</t>
  </si>
  <si>
    <t>1 calcul num</t>
  </si>
  <si>
    <t>1 calc litt</t>
  </si>
  <si>
    <r>
      <rPr>
        <rFont val="Arial"/>
        <sz val="10.0"/>
      </rPr>
      <t xml:space="preserve">Présentation (matériel, évaluations, règlements, notes, questions flash)
Questions flash </t>
    </r>
    <r>
      <rPr>
        <rFont val="Arial"/>
        <color rgb="FF1155CC"/>
        <sz val="10.0"/>
        <u/>
      </rPr>
      <t>https://coopmaths.fr/alea/?uuid=410a3&amp;id=2N30-3&amp;n=1&amp;d=10&amp;cd=1&amp;tip=0&amp;alea=R51F&amp;uuid=0c61c&amp;id=2L11-1&amp;n=1&amp;d=10&amp;s=5&amp;s2=true&amp;s3=3&amp;s4=3&amp;cd=1&amp;tip=0&amp;alea=dtnl&amp;uuid=816f5&amp;id=2A-N7-7&amp;alea=4PHH</t>
    </r>
    <r>
      <rPr>
        <rFont val="Arial"/>
        <sz val="10.0"/>
      </rPr>
      <t xml:space="preserve">
Activité : Télécabine
Devoir : Fin activité</t>
    </r>
  </si>
  <si>
    <t>1 autre</t>
  </si>
  <si>
    <t>Groupe 1: fractions niveau 1</t>
  </si>
  <si>
    <t>Fractions</t>
  </si>
  <si>
    <t>Distributivité</t>
  </si>
  <si>
    <t>Conversions</t>
  </si>
  <si>
    <t>Test de positionnement</t>
  </si>
  <si>
    <t>Groupe 1: relatifs et puissances niveau 1</t>
  </si>
  <si>
    <t>Séance exo construction vecteurs</t>
  </si>
  <si>
    <t>Groupe 2: fractions niveau 2</t>
  </si>
  <si>
    <t>Puissances</t>
  </si>
  <si>
    <t>Equations 1er degré</t>
  </si>
  <si>
    <t>Lect image/ant</t>
  </si>
  <si>
    <t xml:space="preserve">Ensemble de nombres </t>
  </si>
  <si>
    <t xml:space="preserve">Factorisation </t>
  </si>
  <si>
    <t>Groupe 2: relatifs et puissances niveau 2</t>
  </si>
  <si>
    <t>Groupe 3: Fractions niveau 3</t>
  </si>
  <si>
    <t>Comparaison nombre</t>
  </si>
  <si>
    <t>App num d'une formule</t>
  </si>
  <si>
    <t>Coordonnées de points</t>
  </si>
  <si>
    <t>Fonctions: généralités, résolution graphique</t>
  </si>
  <si>
    <r>
      <rPr>
        <rFont val="Arial"/>
        <sz val="10.0"/>
      </rPr>
      <t xml:space="preserve">Questions flash : </t>
    </r>
    <r>
      <rPr>
        <rFont val="Arial"/>
        <color rgb="FF1155CC"/>
        <sz val="10.0"/>
        <u/>
      </rPr>
      <t>https://coopmaths.fr/alea/?uuid=b51bd&amp;id=2N31-1&amp;n=1&amp;d=10&amp;s=1-1-1-1*1111*1&amp;cd=1&amp;tip=0&amp;alea=OIWj&amp;uuid=60cc5&amp;id=2L11-3&amp;n=1&amp;d=10&amp;s=1-2-3-4-5-6-7&amp;cd=1&amp;tip=0&amp;alea=HR8n&amp;uuid=8148b&amp;id=2A-N7-6&amp;alea=FIXi</t>
    </r>
    <r>
      <rPr>
        <rFont val="Arial"/>
        <sz val="10.0"/>
      </rPr>
      <t xml:space="preserve">
Cours : vecteurs et translations
Exos : (LS_ch6) 14, 27, 28
Devoir : 32</t>
    </r>
  </si>
  <si>
    <t>Inéquations</t>
  </si>
  <si>
    <t>Groupe 3: relatifs et puissances niveau 3</t>
  </si>
  <si>
    <t>Vacances de la Toussaint</t>
  </si>
  <si>
    <t>Problèmes de modélisations (inéquations et éq)</t>
  </si>
  <si>
    <t>https://www.mathalea.fr/alea/?uuid=d02da&amp;id=2L21-4&amp;n=4&amp;d=10&amp;s=true&amp;s2=1-2-3-4&amp;s3=false&amp;cd=1&amp;tip=0&amp;alea=NGix&amp;uuid=d02da&amp;id=2L21-4&amp;n=2&amp;d=10&amp;s=true&amp;s2=6-7&amp;s3=false&amp;cd=1&amp;tip=0&amp;alea=3Ln3&amp;uuid=7959f&amp;id=2L21-3&amp;alea=ODTv&amp;uuid=622b9&amp;id=2L20-1&amp;n=1&amp;d=10&amp;s=0&amp;s2=true&amp;cd=0&amp;tip=0&amp;alea=UEiq&amp;uuid=622b9&amp;id=2L20-1&amp;n=2&amp;d=10&amp;s=0&amp;s2=false&amp;cd=0&amp;tip=0&amp;alea=5mMH</t>
  </si>
  <si>
    <t>Groupe 1 et une partie du 2 : distributivité</t>
  </si>
  <si>
    <t>Factorisation</t>
  </si>
  <si>
    <t>Vecteurs</t>
  </si>
  <si>
    <t>Vecteurs partie 2</t>
  </si>
  <si>
    <t>Racine carrée (calculs et simplifications)</t>
  </si>
  <si>
    <t>Groupe 3: proportions niveau 3</t>
  </si>
  <si>
    <t>Groupe 2: proportions niveau 2</t>
  </si>
  <si>
    <t>Racines carrées</t>
  </si>
  <si>
    <t>Proportions</t>
  </si>
  <si>
    <t>Identités remarquables</t>
  </si>
  <si>
    <t>Fonctions : Variations et signes</t>
  </si>
  <si>
    <t>Révisions DC sur base volontariat</t>
  </si>
  <si>
    <t>Ordre de grandeur</t>
  </si>
  <si>
    <t>Identités rem</t>
  </si>
  <si>
    <t>Exploiter une courbe</t>
  </si>
  <si>
    <t>Devoir commun</t>
  </si>
  <si>
    <t>Test AP (25 min)
On corrige ensemble</t>
  </si>
  <si>
    <t>Groupe 1: proportions niveau 1</t>
  </si>
  <si>
    <t>Fonction carrée + équations x²=a</t>
  </si>
  <si>
    <t>Histogrammes, diagrammes etc</t>
  </si>
  <si>
    <t>Isoler variable</t>
  </si>
  <si>
    <t>Trigo</t>
  </si>
  <si>
    <t>Vacances de Noël</t>
  </si>
  <si>
    <r>
      <rPr>
        <rFont val="Arial"/>
        <sz val="10.0"/>
      </rPr>
      <t xml:space="preserve">Questions flash : </t>
    </r>
    <r>
      <rPr>
        <rFont val="Arial"/>
        <color rgb="FF1155CC"/>
        <sz val="10.0"/>
        <u/>
      </rPr>
      <t>https://coopmaths.fr/alea/?uuid=29919&amp;id=2N31-2&amp;n=1&amp;d=10&amp;s=3&amp;s2=true&amp;s3=false&amp;s4=true&amp;s5=1&amp;cd=1&amp;tip=0&amp;alea=gLhI&amp;uuid=35d63&amp;id=2L11-2&amp;n=1&amp;d=10&amp;s=3&amp;s2=3&amp;s3=3&amp;s4=3&amp;cd=1&amp;tip=0&amp;alea=8ofG&amp;uuid=f69e5&amp;id=2A-N7-5&amp;alea=uNWE&amp;z=1.1</t>
    </r>
    <r>
      <rPr>
        <rFont val="Arial"/>
        <sz val="10.0"/>
      </rPr>
      <t xml:space="preserve">
Correction 32
Cours : Égalités de vecteurs
Exos : 29, 31, 33
Devoirs : </t>
    </r>
  </si>
  <si>
    <t>Evolutions et tableaux croisés</t>
  </si>
  <si>
    <t>Groupe 2: calculs en géométrie</t>
  </si>
  <si>
    <t>a/x=b</t>
  </si>
  <si>
    <t>ski</t>
  </si>
  <si>
    <t>Résolution graph éq/inéq</t>
  </si>
  <si>
    <t>Fonctions affines</t>
  </si>
  <si>
    <t>Tracer une droite</t>
  </si>
  <si>
    <t>Groupe 3: calculs en géométrie</t>
  </si>
  <si>
    <t>Probabilités</t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</si>
  <si>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 xml:space="preserve">https://coopmaths.fr/alea/?uuid=1252f&amp;id=2A-N2-2&amp;n=1&amp;d=10&amp;qcm=1&amp;cd=1&amp;tip=0&amp;alea=76fA&amp;uuid=aa4be&amp;id=2A-C2-1&amp;n=1&amp;d=10&amp;qcm=0&amp;cd=1&amp;tip=0&amp;alea=qNvt&amp;uuid=e6427&amp;id=2A-N7-3&amp;alea=r2zz&amp;v=diaporama&amp;ds=10000100
</t>
    </r>
    <r>
      <rPr>
        <rFont val="Arial"/>
        <sz val="10.0"/>
      </rPr>
      <t xml:space="preserve">Correction Exos 29, 31
Exos : 28, 36, 38
</t>
    </r>
  </si>
  <si>
    <t>Vacances d'hiver</t>
  </si>
  <si>
    <t>Colinéarité</t>
  </si>
  <si>
    <t>Equations produit nul/ quotient</t>
  </si>
  <si>
    <t>Groupe 1: calculs en géométrie</t>
  </si>
  <si>
    <t>Passer d'une écri à une aut</t>
  </si>
  <si>
    <t>x²=a</t>
  </si>
  <si>
    <t>Evolutions</t>
  </si>
  <si>
    <t>Fonction inverse</t>
  </si>
  <si>
    <r>
      <rPr>
        <rFont val="Arial"/>
        <color rgb="FFFF0000"/>
        <sz val="10.0"/>
      </rPr>
      <t>ÉVAL 10 min</t>
    </r>
    <r>
      <rPr>
        <rFont val="Arial"/>
        <color theme="1"/>
        <sz val="10.0"/>
      </rPr>
      <t xml:space="preserve">
Activité somme vecteurs
Cours : Somme de vecteurs et chasles
Exo : Exo 39, 41 (à finir)</t>
    </r>
  </si>
  <si>
    <t>fiche calcul 2</t>
  </si>
  <si>
    <t>Groupe 3: systèmes</t>
  </si>
  <si>
    <t>Equations produit nul</t>
  </si>
  <si>
    <t>Fct affines</t>
  </si>
  <si>
    <t>Colinéarité et droites dans le plan</t>
  </si>
  <si>
    <t>Tableau de signes produit et quotient</t>
  </si>
  <si>
    <t>Groupe 2: remédiations vecteurs</t>
  </si>
  <si>
    <t>Calculs imag et ant formule</t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</si>
  <si>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>https://www.mathalea.fr/alea/?uuid=67f73&amp;id=2N33-3&amp;alea=1CsI&amp;uuid=3b7ee&amp;id=2L12-1&amp;n=1&amp;d=10&amp;s=2&amp;s2=true&amp;cd=1&amp;tip=0&amp;alea=SXf2&amp;uuid=d02da&amp;id=2L21-4&amp;n=1&amp;d=10&amp;s=true&amp;s2=2-7&amp;s3=false&amp;cd=1&amp;tip=0&amp;alea=bEEn</t>
    </r>
    <r>
      <rPr>
        <rFont val="Arial"/>
        <sz val="10.0"/>
      </rPr>
      <t xml:space="preserve">
Cours relation de chasles
Corrigé 36, 38
ex 39 (a finir) 41, (42), 43
Devoir 39, 46, 69</t>
    </r>
  </si>
  <si>
    <t>Moyenne, médiane</t>
  </si>
  <si>
    <t>Groupe 1: remédiations vecteurs</t>
  </si>
  <si>
    <t>Vacances de Pâques</t>
  </si>
  <si>
    <t>Groupe 3: exercices de recherches</t>
  </si>
  <si>
    <t>Calculs géométrie</t>
  </si>
  <si>
    <t>Stats</t>
  </si>
  <si>
    <t>Ensembles de définition</t>
  </si>
  <si>
    <t>Distance et valeur absolue</t>
  </si>
  <si>
    <t>Equations quotient</t>
  </si>
  <si>
    <t>Fonction valeur absolue</t>
  </si>
  <si>
    <r>
      <rPr>
        <rFont val="Arial"/>
        <color rgb="FFFF0000"/>
        <sz val="10.0"/>
      </rPr>
      <t>Éval flash</t>
    </r>
    <r>
      <rPr>
        <rFont val="Arial"/>
        <sz val="10.0"/>
      </rPr>
      <t xml:space="preserve"> :
sujet A : </t>
    </r>
    <r>
      <rPr>
        <rFont val="Arial"/>
        <color rgb="FF1155CC"/>
        <sz val="10.0"/>
        <u/>
      </rPr>
      <t xml:space="preserve">https://coopmaths.fr/alea/?uuid=d02da&amp;id=2L21-4&amp;n=1&amp;d=10&amp;s=true&amp;s2=2-7&amp;s3=false&amp;cd=1&amp;tip=0&amp;alea=bEEn%3Fuuid%3D6575c&amp;uuid=6575c&amp;id=2N32-1&amp;n=1&amp;d=10&amp;s=4&amp;s2=true&amp;cd=0&amp;tip=0&amp;alea=3Wjr%3Fuuid%3D35d63&amp;uuid=35d63&amp;id=2L11-2&amp;n=1&amp;d=10&amp;s=3&amp;s2=3&amp;s3=3&amp;s4=3&amp;cd=1&amp;tip=0&amp;alea=8ofG&amp;z=1.1
</t>
    </r>
    <r>
      <rPr>
        <rFont val="Arial"/>
        <sz val="10.0"/>
      </rPr>
      <t xml:space="preserve">sujet B : </t>
    </r>
    <r>
      <rPr>
        <rFont val="Arial"/>
        <color rgb="FF1155CC"/>
        <sz val="10.0"/>
        <u/>
      </rPr>
      <t>https://coopmaths.fr/alea/?uuid=d02da&amp;id=2L21-4&amp;n=1&amp;d=10&amp;s=true&amp;s2=2-7&amp;s3=false&amp;cd=1&amp;tip=0&amp;alea=BaBt&amp;uuid=6575c&amp;id=2N32-1&amp;n=1&amp;d=10&amp;s=4&amp;s2=true&amp;cd=0&amp;tip=0&amp;alea=7jos&amp;uuid=35d63&amp;id=2L11-2&amp;n=1&amp;d=10&amp;s=3&amp;s2=3&amp;s3=3&amp;s4=3&amp;cd=1&amp;tip=0&amp;alea=t8kA&amp;z=1.1</t>
    </r>
    <r>
      <rPr>
        <rFont val="Arial"/>
        <sz val="10.0"/>
      </rPr>
      <t xml:space="preserve">
Corrigé exo 39, 41 (en partie).
Exos (42), 43, 69, 45</t>
    </r>
  </si>
  <si>
    <t>Arithmétique</t>
  </si>
  <si>
    <t>Fin des cours</t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</si>
  <si>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 xml:space="preserve">https://coopmaths.fr/alea/?uuid=88281&amp;id=2N32-flash1&amp;alea=xikN&amp;uuid=889ef&amp;id=2L13-2&amp;n=1&amp;d=10&amp;s=3&amp;s2=false&amp;s3=3&amp;s4=true&amp;cd=1&amp;tip=0&amp;alea=LRT0&amp;uuid=550cf&amp;id=2L21-6&amp;alea=9uMy
</t>
    </r>
    <r>
      <rPr>
        <rFont val="Arial"/>
        <sz val="10.0"/>
      </rPr>
      <t xml:space="preserve">ex 39, 41
43, 69, 45
</t>
    </r>
  </si>
  <si>
    <t>https://www.mathalea.fr/alea/?uuid=2e5df&amp;id=2L11-5&amp;alea=dOxp&amp;uuid=0fe88&amp;id=2L11-6&amp;n=7&amp;d=10&amp;s=9&amp;cd=1&amp;tip=0&amp;alea=g33Y</t>
  </si>
  <si>
    <r>
      <rPr>
        <rFont val="Arial"/>
        <sz val="10.0"/>
      </rPr>
      <t xml:space="preserve">Q flash : </t>
    </r>
    <r>
      <rPr>
        <rFont val="Arial"/>
        <color rgb="FF1155CC"/>
        <sz val="10.0"/>
        <u/>
      </rPr>
      <t xml:space="preserve">https://www.mathalea.fr/alea/?uuid=fc2e8&amp;id=2N43-4&amp;n=1&amp;d=10&amp;cd=1&amp;tip=0&amp;alea=P9VD&amp;uuid=91cd5&amp;id=2L21-flash2&amp;alea=cX2r&amp;uuid=8117f&amp;id=2F12-3&amp;alea=hNqD
</t>
    </r>
    <r>
      <rPr>
        <rFont val="Arial"/>
        <sz val="10.0"/>
      </rPr>
      <t>Produit vecteur réel et colinéarité
corriger 43 puis cours puis Ex 48, 45, 36</t>
    </r>
  </si>
  <si>
    <t>Corrigé éval.
Corrigé exo 2
Exos de la fiche : 1, 3</t>
  </si>
  <si>
    <r>
      <rPr>
        <rFont val="Arial"/>
        <color rgb="FF000000"/>
        <sz val="10.0"/>
      </rPr>
      <t xml:space="preserve">Q flash : </t>
    </r>
    <r>
      <rPr>
        <rFont val="Arial"/>
        <color rgb="FF1155CC"/>
        <sz val="10.0"/>
        <u/>
      </rPr>
      <t>https://coopmaths.fr/alea/?uuid=7bc4a&amp;id=2G20-flash2&amp;alea=08ts&amp;uuid=d2b57&amp;id=2G20-1&amp;n=1&amp;d=10&amp;s=1&amp;cd=1&amp;tip=0&amp;alea=Rujq&amp;uuid=57d64&amp;id=2G21-1&amp;alea=hncI</t>
    </r>
    <r>
      <rPr>
        <rFont val="Arial"/>
        <color rgb="FFFF0000"/>
        <sz val="10.0"/>
      </rPr>
      <t xml:space="preserve">
Exos 4, 5, 6</t>
    </r>
  </si>
  <si>
    <t>Révisions + Contrôle vecteurs</t>
  </si>
  <si>
    <t>Cours ensemble de nombres :
Nombres réels
Exo 1 et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</si>
</sst>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13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/>
    <font>
      <sz val="11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b/>
      <sz val="10.0"/>
      <color theme="1"/>
      <name val="Aptos Narrow"/>
    </font>
    <font>
      <color theme="1"/>
      <name val="Aptos Narrow"/>
    </font>
    <font>
      <u/>
      <sz val="10.0"/>
      <color rgb="FF0000FF"/>
      <name val="Arial"/>
    </font>
    <font>
      <u/>
      <sz val="10.0"/>
      <color rgb="FF0000FF"/>
      <name val="Aptos Narrow"/>
    </font>
    <font>
      <u/>
      <sz val="10.0"/>
      <color rgb="FF467886"/>
      <name val="Arial"/>
    </font>
    <font>
      <u/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BFBFBF"/>
        <bgColor rgb="FFBFBFBF"/>
      </patternFill>
    </fill>
    <fill>
      <patternFill patternType="solid">
        <fgColor rgb="FF47D45A"/>
        <bgColor rgb="FF47D45A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/>
    </xf>
    <xf borderId="0" fillId="0" fontId="5" numFmtId="164" xfId="0" applyAlignment="1" applyFont="1" applyNumberFormat="1">
      <alignment horizontal="left" vertical="center"/>
    </xf>
    <xf borderId="1" fillId="2" fontId="6" numFmtId="0" xfId="0" applyAlignment="1" applyBorder="1" applyFill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0" fillId="0" fontId="8" numFmtId="0" xfId="0" applyFont="1"/>
    <xf borderId="0" fillId="0" fontId="6" numFmtId="164" xfId="0" applyAlignment="1" applyFont="1" applyNumberFormat="1">
      <alignment horizontal="left" vertical="center"/>
    </xf>
    <xf borderId="5" fillId="0" fontId="6" numFmtId="0" xfId="0" applyAlignment="1" applyBorder="1" applyFont="1">
      <alignment horizontal="left" vertical="center"/>
    </xf>
    <xf borderId="6" fillId="0" fontId="3" numFmtId="0" xfId="0" applyBorder="1" applyFont="1"/>
    <xf borderId="1" fillId="2" fontId="5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left" shrinkToFit="0" vertical="center" wrapText="1"/>
    </xf>
    <xf borderId="1" fillId="2" fontId="9" numFmtId="0" xfId="0" applyAlignment="1" applyBorder="1" applyFill="1" applyFont="1">
      <alignment horizontal="left" vertical="center"/>
    </xf>
    <xf borderId="1" fillId="3" fontId="6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ill="1" applyFont="1">
      <alignment horizontal="left" vertical="center"/>
    </xf>
    <xf borderId="1" fillId="4" fontId="6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8" fillId="3" fontId="6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1" fillId="6" fontId="6" numFmtId="0" xfId="0" applyAlignment="1" applyBorder="1" applyFill="1" applyFont="1">
      <alignment horizontal="left" vertical="center"/>
    </xf>
    <xf borderId="1" fillId="3" fontId="6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vertical="center"/>
    </xf>
    <xf borderId="1" fillId="7" fontId="6" numFmtId="0" xfId="0" applyAlignment="1" applyBorder="1" applyFill="1" applyFont="1">
      <alignment horizontal="left" vertical="center"/>
    </xf>
    <xf borderId="0" fillId="0" fontId="6" numFmtId="0" xfId="0" applyFont="1"/>
    <xf borderId="1" fillId="4" fontId="2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center" shrinkToFit="0" wrapText="1"/>
    </xf>
    <xf borderId="9" fillId="5" fontId="6" numFmtId="0" xfId="0" applyAlignment="1" applyBorder="1" applyFill="1" applyFont="1">
      <alignment horizontal="left" vertical="center"/>
    </xf>
    <xf borderId="1" fillId="0" fontId="6" numFmtId="0" xfId="0" applyBorder="1" applyFont="1"/>
    <xf borderId="1" fillId="4" fontId="7" numFmtId="0" xfId="0" applyAlignment="1" applyBorder="1" applyFill="1" applyFont="1">
      <alignment horizontal="center"/>
    </xf>
    <xf borderId="1" fillId="4" fontId="4" numFmtId="0" xfId="0" applyBorder="1" applyFill="1" applyFont="1"/>
    <xf borderId="0" fillId="0" fontId="4" numFmtId="0" xfId="0" applyFont="1"/>
    <xf borderId="1" fillId="0" fontId="11" numFmtId="0" xfId="0" applyAlignment="1" applyBorder="1" applyFont="1">
      <alignment horizontal="left" vertical="center"/>
    </xf>
    <xf borderId="1" fillId="2" fontId="12" numFmtId="0" xfId="0" applyAlignment="1" applyBorder="1" applyFill="1" applyFont="1">
      <alignment horizontal="left" vertical="center"/>
    </xf>
    <xf borderId="7" fillId="3" fontId="6" numFmtId="0" xfId="0" applyAlignment="1" applyBorder="1" applyFill="1" applyFont="1">
      <alignment horizontal="left" shrinkToFit="0" vertical="center" wrapText="1"/>
    </xf>
    <xf borderId="7" fillId="3" fontId="6" numFmtId="0" xfId="0" applyAlignment="1" applyBorder="1" applyFill="1" applyFont="1">
      <alignment horizontal="left" vertical="center"/>
    </xf>
    <xf borderId="0" fillId="3" fontId="6" numFmtId="0" xfId="0" applyAlignment="1" applyFill="1" applyFont="1">
      <alignment horizontal="left" vertical="center"/>
    </xf>
    <xf borderId="0" fillId="5" fontId="6" numFmtId="0" xfId="0" applyAlignment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opmaths.fr/alea/?uuid=410a3&amp;id=2N30-3&amp;n=1&amp;d=10&amp;cd=1&amp;tip=0&amp;alea=R51F&amp;uuid=0c61c&amp;id=2L11-1&amp;n=1&amp;d=10&amp;s=5&amp;s2=true&amp;s3=3&amp;s4=3&amp;cd=1&amp;tip=0&amp;alea=dtnl&amp;uuid=816f5&amp;id=2A-N7-7&amp;alea=4PHH" TargetMode="External"/><Relationship Id="rId2" Type="http://schemas.openxmlformats.org/officeDocument/2006/relationships/hyperlink" Target="https://coopmaths.fr/alea/?uuid=b51bd&amp;id=2N31-1&amp;n=1&amp;d=10&amp;s=1-1-1-1*1111*1&amp;cd=1&amp;tip=0&amp;alea=OIWj&amp;uuid=60cc5&amp;id=2L11-3&amp;n=1&amp;d=10&amp;s=1-2-3-4-5-6-7&amp;cd=1&amp;tip=0&amp;alea=HR8n&amp;uuid=8148b&amp;id=2A-N7-6&amp;alea=FIXi" TargetMode="External"/><Relationship Id="rId3" Type="http://schemas.openxmlformats.org/officeDocument/2006/relationships/hyperlink" Target="https://www.mathalea.fr/alea/?uuid=d02da&amp;id=2L21-4&amp;n=4&amp;d=10&amp;s=true&amp;s2=1-2-3-4&amp;s3=false&amp;cd=1&amp;tip=0&amp;alea=NGix&amp;uuid=d02da&amp;id=2L21-4&amp;n=2&amp;d=10&amp;s=true&amp;s2=6-7&amp;s3=false&amp;cd=1&amp;tip=0&amp;alea=3Ln3&amp;uuid=7959f&amp;id=2L21-3&amp;alea=ODTv&amp;uuid=622b9&amp;id=2L20-1&amp;n=1&amp;d=10&amp;s=0&amp;s2=true&amp;cd=0&amp;tip=0&amp;alea=UEiq&amp;uuid=622b9&amp;id=2L20-1&amp;n=2&amp;d=10&amp;s=0&amp;s2=false&amp;cd=0&amp;tip=0&amp;alea=5mMH" TargetMode="External"/><Relationship Id="rId4" Type="http://schemas.openxmlformats.org/officeDocument/2006/relationships/hyperlink" Target="https://coopmaths.fr/alea/?uuid=29919&amp;id=2N31-2&amp;n=1&amp;d=10&amp;s=3&amp;s2=true&amp;s3=false&amp;s4=true&amp;s5=1&amp;cd=1&amp;tip=0&amp;alea=gLhI&amp;uuid=35d63&amp;id=2L11-2&amp;n=1&amp;d=10&amp;s=3&amp;s2=3&amp;s3=3&amp;s4=3&amp;cd=1&amp;tip=0&amp;alea=8ofG&amp;uuid=f69e5&amp;id=2A-N7-5&amp;alea=uNWE&amp;z=1.1" TargetMode="External"/><Relationship Id="rId11" Type="http://schemas.openxmlformats.org/officeDocument/2006/relationships/hyperlink" Target="https://coopmaths.fr/alea/?uuid=7bc4a&amp;id=2G20-flash2&amp;alea=08ts&amp;uuid=d2b57&amp;id=2G20-1&amp;n=1&amp;d=10&amp;s=1&amp;cd=1&amp;tip=0&amp;alea=Rujq&amp;uuid=57d64&amp;id=2G21-1&amp;alea=hncI" TargetMode="External"/><Relationship Id="rId10" Type="http://schemas.openxmlformats.org/officeDocument/2006/relationships/hyperlink" Target="https://www.mathalea.fr/alea/?uuid=fc2e8&amp;id=2N43-4&amp;n=1&amp;d=10&amp;cd=1&amp;tip=0&amp;alea=P9VD&amp;uuid=91cd5&amp;id=2L21-flash2&amp;alea=cX2r&amp;uuid=8117f&amp;id=2F12-3&amp;alea=hNqD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mathalea.fr/alea/?uuid=2e5df&amp;id=2L11-5&amp;alea=dOxp&amp;uuid=0fe88&amp;id=2L11-6&amp;n=7&amp;d=10&amp;s=9&amp;cd=1&amp;tip=0&amp;alea=g33Y" TargetMode="External"/><Relationship Id="rId5" Type="http://schemas.openxmlformats.org/officeDocument/2006/relationships/hyperlink" Target="https://coopmaths.fr/alea/?uuid=1252f&amp;id=2A-N2-2&amp;n=1&amp;d=10&amp;qcm=1&amp;cd=1&amp;tip=0&amp;alea=76fA&amp;uuid=aa4be&amp;id=2A-C2-1&amp;n=1&amp;d=10&amp;qcm=0&amp;cd=1&amp;tip=0&amp;alea=qNvt&amp;uuid=e6427&amp;id=2A-N7-3&amp;alea=r2zz&amp;v=diaporama&amp;ds=10000100" TargetMode="External"/><Relationship Id="rId6" Type="http://schemas.openxmlformats.org/officeDocument/2006/relationships/hyperlink" Target="https://www.mathalea.fr/alea/?uuid=67f73&amp;id=2N33-3&amp;alea=1CsI&amp;uuid=3b7ee&amp;id=2L12-1&amp;n=1&amp;d=10&amp;s=2&amp;s2=true&amp;cd=1&amp;tip=0&amp;alea=SXf2&amp;uuid=d02da&amp;id=2L21-4&amp;n=1&amp;d=10&amp;s=true&amp;s2=2-7&amp;s3=false&amp;cd=1&amp;tip=0&amp;alea=bEEn" TargetMode="External"/><Relationship Id="rId7" Type="http://schemas.openxmlformats.org/officeDocument/2006/relationships/hyperlink" Target="https://coopmaths.fr/alea/?uuid=d02da&amp;id=2L21-4&amp;n=1&amp;d=10&amp;s=true&amp;s2=2-7&amp;s3=false&amp;cd=1&amp;tip=0&amp;alea=bEEn%3Fuuid%3D6575c&amp;uuid=6575c&amp;id=2N32-1&amp;n=1&amp;d=10&amp;s=4&amp;s2=true&amp;cd=0&amp;tip=0&amp;alea=3Wjr%3Fuuid%3D35d63&amp;uuid=35d63&amp;id=2L11-2&amp;n=1&amp;d=10&amp;s=3&amp;s2=3&amp;s3=3&amp;s4=3&amp;cd=1&amp;tip=0&amp;alea=8ofG&amp;z=1.1" TargetMode="External"/><Relationship Id="rId8" Type="http://schemas.openxmlformats.org/officeDocument/2006/relationships/hyperlink" Target="https://coopmaths.fr/alea/?uuid=88281&amp;id=2N32-flash1&amp;alea=xikN&amp;uuid=889ef&amp;id=2L13-2&amp;n=1&amp;d=10&amp;s=3&amp;s2=false&amp;s3=3&amp;s4=true&amp;cd=1&amp;tip=0&amp;alea=LRT0&amp;uuid=550cf&amp;id=2L21-6&amp;alea=9uM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6.88"/>
    <col customWidth="1" min="3" max="3" width="21.75"/>
    <col customWidth="1" min="4" max="4" width="23.63"/>
    <col customWidth="1" min="5" max="5" width="21.75"/>
    <col customWidth="1" min="6" max="6" width="27.0"/>
    <col customWidth="1" min="7" max="7" width="23.75"/>
    <col customWidth="1" min="8" max="8" width="31.63"/>
    <col customWidth="1" min="9" max="9" width="21.88"/>
    <col customWidth="1" min="10" max="32" width="10.63"/>
  </cols>
  <sheetData>
    <row r="1" ht="14.25" customHeight="1">
      <c r="A1" s="1" t="s">
        <v>0</v>
      </c>
      <c r="B1" s="2" t="s">
        <v>1</v>
      </c>
      <c r="C1" s="3" t="s">
        <v>5</v>
      </c>
      <c r="D1" s="3" t="s">
        <v>6</v>
      </c>
      <c r="E1" s="3" t="s">
        <v>7</v>
      </c>
      <c r="F1" s="2" t="s">
        <v>2</v>
      </c>
      <c r="G1" s="2"/>
      <c r="H1" s="2" t="s">
        <v>3</v>
      </c>
      <c r="I1" s="2"/>
      <c r="J1" s="4" t="s">
        <v>4</v>
      </c>
      <c r="K1" s="5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>
        <f>date(2026,8,31)</f>
        <v>46265</v>
      </c>
      <c r="B2" s="9" t="s">
        <v>8</v>
      </c>
      <c r="C2" s="10"/>
      <c r="D2" s="19" t="s">
        <v>13</v>
      </c>
      <c r="E2" s="19" t="s">
        <v>34</v>
      </c>
      <c r="F2" s="11" t="s">
        <v>9</v>
      </c>
      <c r="G2" s="29" t="s">
        <v>39</v>
      </c>
      <c r="H2" s="11" t="s">
        <v>10</v>
      </c>
      <c r="I2" s="10" t="s">
        <v>56</v>
      </c>
      <c r="J2" s="12" t="s">
        <v>11</v>
      </c>
      <c r="K2" s="12" t="s">
        <v>12</v>
      </c>
      <c r="L2" s="12" t="s">
        <v>14</v>
      </c>
      <c r="M2" s="13"/>
    </row>
    <row r="3" ht="14.25" customHeight="1">
      <c r="A3" s="14">
        <f t="shared" ref="A3:A42" si="1">A2+7</f>
        <v>46272</v>
      </c>
      <c r="B3" s="9" t="s">
        <v>8</v>
      </c>
      <c r="C3" s="19" t="s">
        <v>63</v>
      </c>
      <c r="D3" s="19" t="s">
        <v>73</v>
      </c>
      <c r="E3" s="17" t="s">
        <v>82</v>
      </c>
      <c r="F3" s="11" t="s">
        <v>9</v>
      </c>
      <c r="G3" s="10" t="s">
        <v>83</v>
      </c>
      <c r="H3" s="11" t="s">
        <v>15</v>
      </c>
      <c r="I3" s="11"/>
      <c r="J3" s="15" t="s">
        <v>16</v>
      </c>
      <c r="K3" s="15" t="s">
        <v>17</v>
      </c>
      <c r="L3" s="15" t="s">
        <v>18</v>
      </c>
    </row>
    <row r="4" ht="14.25" customHeight="1">
      <c r="A4" s="14">
        <f t="shared" si="1"/>
        <v>46279</v>
      </c>
      <c r="B4" s="9" t="s">
        <v>8</v>
      </c>
      <c r="C4" s="19" t="s">
        <v>91</v>
      </c>
      <c r="D4" s="19" t="s">
        <v>102</v>
      </c>
      <c r="E4" s="19" t="s">
        <v>105</v>
      </c>
      <c r="F4" s="10" t="s">
        <v>19</v>
      </c>
      <c r="G4" s="45" t="s">
        <v>106</v>
      </c>
      <c r="H4" s="11" t="s">
        <v>20</v>
      </c>
      <c r="I4" s="11"/>
      <c r="J4" s="16"/>
      <c r="K4" s="16"/>
      <c r="L4" s="16"/>
    </row>
    <row r="5" ht="14.25" customHeight="1">
      <c r="A5" s="14">
        <f t="shared" si="1"/>
        <v>46286</v>
      </c>
      <c r="B5" s="9" t="s">
        <v>8</v>
      </c>
      <c r="C5" s="19" t="s">
        <v>107</v>
      </c>
      <c r="D5" s="17" t="s">
        <v>108</v>
      </c>
      <c r="E5" s="46" t="s">
        <v>109</v>
      </c>
      <c r="F5" s="17" t="s">
        <v>21</v>
      </c>
      <c r="G5" s="9"/>
      <c r="H5" s="11" t="s">
        <v>22</v>
      </c>
      <c r="I5" s="11"/>
      <c r="J5" s="18" t="s">
        <v>23</v>
      </c>
      <c r="K5" s="18" t="s">
        <v>24</v>
      </c>
      <c r="L5" s="18" t="s">
        <v>25</v>
      </c>
    </row>
    <row r="6" ht="14.25" customHeight="1">
      <c r="A6" s="14">
        <f t="shared" si="1"/>
        <v>46293</v>
      </c>
      <c r="B6" s="11" t="s">
        <v>26</v>
      </c>
      <c r="C6" s="10" t="s">
        <v>110</v>
      </c>
      <c r="D6" s="10" t="s">
        <v>111</v>
      </c>
      <c r="E6" s="11"/>
      <c r="F6" s="11" t="s">
        <v>27</v>
      </c>
      <c r="G6" s="11"/>
      <c r="H6" s="11" t="s">
        <v>28</v>
      </c>
      <c r="I6" s="11"/>
      <c r="J6" s="16"/>
      <c r="K6" s="16"/>
      <c r="L6" s="16"/>
    </row>
    <row r="7" ht="14.25" customHeight="1">
      <c r="A7" s="14">
        <f t="shared" si="1"/>
        <v>46300</v>
      </c>
      <c r="B7" s="11" t="s">
        <v>26</v>
      </c>
      <c r="C7" s="11"/>
      <c r="D7" s="11"/>
      <c r="E7" s="11"/>
      <c r="F7" s="11" t="s">
        <v>27</v>
      </c>
      <c r="G7" s="11"/>
      <c r="H7" s="11" t="s">
        <v>29</v>
      </c>
      <c r="I7" s="11"/>
      <c r="J7" s="18" t="s">
        <v>30</v>
      </c>
      <c r="K7" s="18" t="s">
        <v>31</v>
      </c>
      <c r="L7" s="18" t="s">
        <v>32</v>
      </c>
    </row>
    <row r="8" ht="14.25" customHeight="1">
      <c r="A8" s="14">
        <f t="shared" si="1"/>
        <v>46307</v>
      </c>
      <c r="B8" s="20" t="s">
        <v>33</v>
      </c>
      <c r="C8" s="20"/>
      <c r="D8" s="20"/>
      <c r="E8" s="20"/>
      <c r="F8" s="11" t="s">
        <v>35</v>
      </c>
      <c r="G8" s="11"/>
      <c r="H8" s="11" t="s">
        <v>36</v>
      </c>
      <c r="I8" s="11"/>
      <c r="J8" s="16"/>
      <c r="K8" s="16"/>
      <c r="L8" s="16"/>
    </row>
    <row r="9" ht="14.25" customHeight="1">
      <c r="A9" s="14">
        <f t="shared" si="1"/>
        <v>46314</v>
      </c>
      <c r="B9" s="21" t="s">
        <v>37</v>
      </c>
      <c r="C9" s="21"/>
      <c r="D9" s="21"/>
      <c r="E9" s="21"/>
      <c r="F9" s="22"/>
      <c r="G9" s="22"/>
      <c r="H9" s="22"/>
      <c r="I9" s="22"/>
      <c r="J9" s="22"/>
      <c r="K9" s="23"/>
      <c r="L9" s="22"/>
    </row>
    <row r="10" ht="14.25" customHeight="1">
      <c r="A10" s="14">
        <f t="shared" si="1"/>
        <v>46321</v>
      </c>
      <c r="B10" s="24" t="s">
        <v>37</v>
      </c>
      <c r="C10" s="24"/>
      <c r="D10" s="24"/>
      <c r="E10" s="24"/>
      <c r="F10" s="22"/>
      <c r="G10" s="22"/>
      <c r="H10" s="22"/>
      <c r="I10" s="22"/>
      <c r="J10" s="22"/>
      <c r="K10" s="22"/>
      <c r="L10" s="22"/>
    </row>
    <row r="11" ht="14.25" customHeight="1">
      <c r="A11" s="14">
        <f t="shared" si="1"/>
        <v>46328</v>
      </c>
      <c r="B11" s="20" t="s">
        <v>33</v>
      </c>
      <c r="C11" s="47"/>
      <c r="D11" s="47"/>
      <c r="E11" s="47"/>
      <c r="F11" s="25" t="s">
        <v>38</v>
      </c>
      <c r="G11" s="25"/>
      <c r="H11" s="11" t="s">
        <v>40</v>
      </c>
      <c r="I11" s="11"/>
      <c r="J11" s="18" t="s">
        <v>16</v>
      </c>
      <c r="K11" s="15" t="s">
        <v>41</v>
      </c>
      <c r="L11" s="15" t="s">
        <v>42</v>
      </c>
    </row>
    <row r="12" ht="14.25" customHeight="1">
      <c r="A12" s="14">
        <f t="shared" si="1"/>
        <v>46335</v>
      </c>
      <c r="B12" s="9" t="s">
        <v>43</v>
      </c>
      <c r="C12" s="9"/>
      <c r="D12" s="9"/>
      <c r="E12" s="9"/>
      <c r="F12" s="11" t="s">
        <v>44</v>
      </c>
      <c r="G12" s="11"/>
      <c r="H12" s="11" t="s">
        <v>45</v>
      </c>
      <c r="I12" s="11"/>
      <c r="J12" s="16"/>
      <c r="K12" s="16"/>
      <c r="L12" s="16"/>
    </row>
    <row r="13" ht="14.25" customHeight="1">
      <c r="A13" s="14">
        <f t="shared" si="1"/>
        <v>46342</v>
      </c>
      <c r="B13" s="9" t="s">
        <v>43</v>
      </c>
      <c r="C13" s="9"/>
      <c r="D13" s="9"/>
      <c r="E13" s="9"/>
      <c r="F13" s="11" t="s">
        <v>44</v>
      </c>
      <c r="G13" s="11"/>
      <c r="H13" s="11" t="s">
        <v>46</v>
      </c>
      <c r="I13" s="11"/>
      <c r="J13" s="18" t="s">
        <v>47</v>
      </c>
      <c r="K13" s="26" t="s">
        <v>35</v>
      </c>
      <c r="L13" s="18" t="s">
        <v>48</v>
      </c>
    </row>
    <row r="14" ht="14.25" customHeight="1">
      <c r="A14" s="14">
        <f t="shared" si="1"/>
        <v>46349</v>
      </c>
      <c r="B14" s="9" t="s">
        <v>43</v>
      </c>
      <c r="C14" s="9"/>
      <c r="D14" s="9"/>
      <c r="E14" s="9"/>
      <c r="F14" s="11" t="s">
        <v>49</v>
      </c>
      <c r="G14" s="11"/>
      <c r="H14" s="11" t="s">
        <v>46</v>
      </c>
      <c r="I14" s="11"/>
      <c r="J14" s="16"/>
      <c r="K14" s="16"/>
      <c r="L14" s="16"/>
    </row>
    <row r="15" ht="14.25" customHeight="1">
      <c r="A15" s="14">
        <f t="shared" si="1"/>
        <v>46356</v>
      </c>
      <c r="B15" s="27" t="s">
        <v>50</v>
      </c>
      <c r="C15" s="48"/>
      <c r="D15" s="48"/>
      <c r="E15" s="48"/>
      <c r="F15" s="11" t="s">
        <v>49</v>
      </c>
      <c r="G15" s="11"/>
      <c r="H15" s="28" t="s">
        <v>51</v>
      </c>
      <c r="I15" s="28"/>
      <c r="J15" s="18" t="s">
        <v>52</v>
      </c>
      <c r="K15" s="15" t="s">
        <v>53</v>
      </c>
      <c r="L15" s="18" t="s">
        <v>54</v>
      </c>
    </row>
    <row r="16" ht="14.25" customHeight="1">
      <c r="A16" s="14">
        <f t="shared" si="1"/>
        <v>46363</v>
      </c>
      <c r="B16" s="30" t="s">
        <v>55</v>
      </c>
      <c r="C16" s="30"/>
      <c r="D16" s="30"/>
      <c r="E16" s="30"/>
      <c r="F16" s="11" t="s">
        <v>49</v>
      </c>
      <c r="G16" s="11"/>
      <c r="H16" s="11" t="s">
        <v>57</v>
      </c>
      <c r="I16" s="11"/>
      <c r="J16" s="16"/>
      <c r="K16" s="16"/>
      <c r="L16" s="16"/>
    </row>
    <row r="17" ht="14.25" customHeight="1">
      <c r="A17" s="14">
        <f t="shared" si="1"/>
        <v>46370</v>
      </c>
      <c r="B17" s="31" t="s">
        <v>50</v>
      </c>
      <c r="C17" s="31"/>
      <c r="D17" s="31"/>
      <c r="E17" s="31"/>
      <c r="F17" s="31" t="s">
        <v>58</v>
      </c>
      <c r="G17" s="31"/>
      <c r="H17" s="11" t="s">
        <v>57</v>
      </c>
      <c r="I17" s="11"/>
      <c r="J17" s="32" t="s">
        <v>59</v>
      </c>
      <c r="K17" s="18" t="s">
        <v>60</v>
      </c>
      <c r="L17" s="11" t="s">
        <v>61</v>
      </c>
    </row>
    <row r="18" ht="14.25" customHeight="1">
      <c r="A18" s="14">
        <f t="shared" si="1"/>
        <v>46377</v>
      </c>
      <c r="B18" s="24" t="s">
        <v>62</v>
      </c>
      <c r="C18" s="24"/>
      <c r="D18" s="24"/>
      <c r="E18" s="24"/>
      <c r="F18" s="33"/>
      <c r="G18" s="33"/>
      <c r="H18" s="33"/>
      <c r="I18" s="33"/>
      <c r="J18" s="22"/>
      <c r="K18" s="22"/>
      <c r="L18" s="22"/>
    </row>
    <row r="19" ht="14.25" customHeight="1">
      <c r="A19" s="14">
        <f t="shared" si="1"/>
        <v>46384</v>
      </c>
      <c r="B19" s="24" t="s">
        <v>62</v>
      </c>
      <c r="C19" s="24"/>
      <c r="D19" s="24"/>
      <c r="E19" s="24"/>
      <c r="F19" s="33"/>
      <c r="G19" s="33"/>
      <c r="H19" s="33"/>
      <c r="I19" s="33"/>
      <c r="J19" s="22"/>
      <c r="K19" s="22"/>
      <c r="L19" s="22"/>
    </row>
    <row r="20" ht="14.25" customHeight="1">
      <c r="A20" s="14">
        <f t="shared" si="1"/>
        <v>46391</v>
      </c>
      <c r="B20" s="34" t="s">
        <v>64</v>
      </c>
      <c r="C20" s="34"/>
      <c r="D20" s="34"/>
      <c r="E20" s="34"/>
      <c r="F20" s="31" t="s">
        <v>58</v>
      </c>
      <c r="G20" s="48"/>
      <c r="H20" s="25" t="s">
        <v>65</v>
      </c>
      <c r="I20" s="25"/>
      <c r="J20" s="32" t="s">
        <v>59</v>
      </c>
      <c r="K20" s="18" t="s">
        <v>60</v>
      </c>
      <c r="L20" s="11" t="s">
        <v>66</v>
      </c>
    </row>
    <row r="21" ht="14.25" customHeight="1">
      <c r="A21" s="14">
        <f t="shared" si="1"/>
        <v>46398</v>
      </c>
      <c r="B21" s="34" t="s">
        <v>64</v>
      </c>
      <c r="C21" s="34"/>
      <c r="D21" s="34"/>
      <c r="E21" s="34"/>
      <c r="F21" s="31" t="s">
        <v>58</v>
      </c>
      <c r="G21" s="31"/>
      <c r="H21" s="11" t="s">
        <v>67</v>
      </c>
      <c r="I21" s="11"/>
      <c r="J21" s="15" t="s">
        <v>23</v>
      </c>
      <c r="K21" s="15" t="s">
        <v>53</v>
      </c>
      <c r="L21" s="18" t="s">
        <v>68</v>
      </c>
    </row>
    <row r="22" ht="14.25" customHeight="1">
      <c r="A22" s="14">
        <f t="shared" si="1"/>
        <v>46405</v>
      </c>
      <c r="B22" s="31" t="s">
        <v>69</v>
      </c>
      <c r="C22" s="31"/>
      <c r="D22" s="31"/>
      <c r="E22" s="31"/>
      <c r="F22" s="31" t="s">
        <v>58</v>
      </c>
      <c r="G22" s="31"/>
      <c r="H22" s="11" t="s">
        <v>65</v>
      </c>
      <c r="I22" s="11"/>
      <c r="J22" s="16"/>
      <c r="K22" s="16"/>
      <c r="L22" s="16"/>
    </row>
    <row r="23" ht="14.25" customHeight="1">
      <c r="A23" s="14">
        <f t="shared" si="1"/>
        <v>46412</v>
      </c>
      <c r="B23" s="31" t="s">
        <v>69</v>
      </c>
      <c r="C23" s="49"/>
      <c r="D23" s="49"/>
      <c r="E23" s="49"/>
      <c r="F23" s="35" t="s">
        <v>70</v>
      </c>
      <c r="G23" s="35"/>
      <c r="H23" s="11" t="s">
        <v>71</v>
      </c>
      <c r="I23" s="11"/>
      <c r="J23" s="18" t="s">
        <v>30</v>
      </c>
      <c r="K23" s="15" t="s">
        <v>41</v>
      </c>
      <c r="L23" s="18" t="s">
        <v>72</v>
      </c>
    </row>
    <row r="24" ht="14.25" customHeight="1">
      <c r="A24" s="14">
        <f t="shared" si="1"/>
        <v>46419</v>
      </c>
      <c r="B24" s="31" t="s">
        <v>69</v>
      </c>
      <c r="C24" s="48"/>
      <c r="D24" s="48"/>
      <c r="E24" s="48"/>
      <c r="F24" s="25" t="s">
        <v>38</v>
      </c>
      <c r="G24" s="25"/>
      <c r="H24" s="11" t="s">
        <v>71</v>
      </c>
      <c r="I24" s="11"/>
      <c r="J24" s="16"/>
      <c r="K24" s="16"/>
      <c r="L24" s="16"/>
    </row>
    <row r="25" ht="14.25" customHeight="1">
      <c r="A25" s="14">
        <f t="shared" si="1"/>
        <v>46426</v>
      </c>
      <c r="B25" s="24" t="s">
        <v>74</v>
      </c>
      <c r="C25" s="24"/>
      <c r="D25" s="24"/>
      <c r="E25" s="24"/>
      <c r="F25" s="36"/>
      <c r="G25" s="36"/>
      <c r="H25" s="36"/>
      <c r="I25" s="36"/>
      <c r="J25" s="22"/>
      <c r="K25" s="22"/>
      <c r="L25" s="22"/>
    </row>
    <row r="26" ht="14.25" customHeight="1">
      <c r="A26" s="14">
        <f t="shared" si="1"/>
        <v>46433</v>
      </c>
      <c r="B26" s="24" t="s">
        <v>74</v>
      </c>
      <c r="C26" s="24"/>
      <c r="D26" s="24"/>
      <c r="E26" s="24"/>
      <c r="F26" s="24"/>
      <c r="G26" s="24"/>
      <c r="H26" s="24"/>
      <c r="I26" s="24"/>
      <c r="J26" s="22"/>
      <c r="K26" s="22"/>
      <c r="L26" s="22"/>
    </row>
    <row r="27" ht="14.25" customHeight="1">
      <c r="A27" s="14">
        <f t="shared" si="1"/>
        <v>46440</v>
      </c>
      <c r="B27" s="9" t="s">
        <v>75</v>
      </c>
      <c r="C27" s="9"/>
      <c r="D27" s="9"/>
      <c r="E27" s="9"/>
      <c r="F27" s="11" t="s">
        <v>76</v>
      </c>
      <c r="G27" s="11"/>
      <c r="H27" s="11" t="s">
        <v>77</v>
      </c>
      <c r="I27" s="11"/>
      <c r="J27" s="18" t="s">
        <v>78</v>
      </c>
      <c r="K27" s="37" t="s">
        <v>79</v>
      </c>
      <c r="L27" s="18" t="s">
        <v>80</v>
      </c>
    </row>
    <row r="28" ht="14.25" customHeight="1">
      <c r="A28" s="14">
        <f t="shared" si="1"/>
        <v>46447</v>
      </c>
      <c r="B28" s="34" t="s">
        <v>72</v>
      </c>
      <c r="C28" s="34"/>
      <c r="D28" s="34"/>
      <c r="E28" s="34"/>
      <c r="F28" s="11" t="s">
        <v>76</v>
      </c>
      <c r="G28" s="11"/>
      <c r="H28" s="11" t="s">
        <v>77</v>
      </c>
      <c r="I28" s="11"/>
      <c r="J28" s="16"/>
      <c r="K28" s="16"/>
      <c r="L28" s="16"/>
    </row>
    <row r="29" ht="14.25" customHeight="1">
      <c r="A29" s="14">
        <f t="shared" si="1"/>
        <v>46454</v>
      </c>
      <c r="B29" s="34" t="s">
        <v>72</v>
      </c>
      <c r="C29" s="34"/>
      <c r="D29" s="34"/>
      <c r="E29" s="34"/>
      <c r="F29" s="38" t="s">
        <v>81</v>
      </c>
      <c r="G29" s="38"/>
      <c r="H29" s="11" t="s">
        <v>84</v>
      </c>
      <c r="I29" s="11"/>
      <c r="J29" s="18" t="s">
        <v>16</v>
      </c>
      <c r="K29" s="39" t="s">
        <v>85</v>
      </c>
      <c r="L29" s="18" t="s">
        <v>86</v>
      </c>
    </row>
    <row r="30" ht="14.25" customHeight="1">
      <c r="A30" s="14">
        <f t="shared" si="1"/>
        <v>46461</v>
      </c>
      <c r="B30" s="34" t="s">
        <v>72</v>
      </c>
      <c r="C30" s="34"/>
      <c r="D30" s="34"/>
      <c r="E30" s="34"/>
      <c r="F30" s="38" t="s">
        <v>81</v>
      </c>
      <c r="G30" s="38"/>
      <c r="H30" s="11" t="s">
        <v>84</v>
      </c>
      <c r="I30" s="11"/>
      <c r="J30" s="16"/>
      <c r="K30" s="16"/>
      <c r="L30" s="16"/>
    </row>
    <row r="31" ht="14.25" customHeight="1">
      <c r="A31" s="14">
        <f t="shared" si="1"/>
        <v>46468</v>
      </c>
      <c r="B31" s="9" t="s">
        <v>87</v>
      </c>
      <c r="C31" s="9"/>
      <c r="D31" s="9"/>
      <c r="E31" s="9"/>
      <c r="F31" s="11" t="s">
        <v>88</v>
      </c>
      <c r="G31" s="11"/>
      <c r="H31" s="11" t="s">
        <v>89</v>
      </c>
      <c r="I31" s="11"/>
      <c r="J31" s="18" t="s">
        <v>52</v>
      </c>
      <c r="K31" s="37" t="s">
        <v>90</v>
      </c>
      <c r="L31" s="18" t="s">
        <v>92</v>
      </c>
    </row>
    <row r="32" ht="14.25" customHeight="1">
      <c r="A32" s="14">
        <f t="shared" si="1"/>
        <v>46475</v>
      </c>
      <c r="B32" s="9" t="s">
        <v>87</v>
      </c>
      <c r="C32" s="9"/>
      <c r="D32" s="9"/>
      <c r="E32" s="9"/>
      <c r="F32" s="11" t="s">
        <v>88</v>
      </c>
      <c r="G32" s="11"/>
      <c r="H32" s="11" t="s">
        <v>93</v>
      </c>
      <c r="I32" s="11"/>
      <c r="J32" s="16"/>
      <c r="K32" s="16"/>
      <c r="L32" s="16"/>
    </row>
    <row r="33" ht="14.25" customHeight="1">
      <c r="A33" s="14">
        <f t="shared" si="1"/>
        <v>46482</v>
      </c>
      <c r="B33" s="24" t="s">
        <v>94</v>
      </c>
      <c r="C33" s="24"/>
      <c r="D33" s="24"/>
      <c r="E33" s="24"/>
      <c r="F33" s="24"/>
      <c r="G33" s="24"/>
      <c r="H33" s="24"/>
      <c r="I33" s="24"/>
      <c r="J33" s="22"/>
      <c r="K33" s="22"/>
      <c r="L33" s="22"/>
    </row>
    <row r="34" ht="14.25" customHeight="1">
      <c r="A34" s="14">
        <f t="shared" si="1"/>
        <v>46489</v>
      </c>
      <c r="B34" s="24" t="s">
        <v>94</v>
      </c>
      <c r="C34" s="24"/>
      <c r="D34" s="24"/>
      <c r="E34" s="24"/>
      <c r="F34" s="36"/>
      <c r="G34" s="36"/>
      <c r="H34" s="36"/>
      <c r="I34" s="36"/>
      <c r="J34" s="22"/>
      <c r="K34" s="22"/>
      <c r="L34" s="22"/>
    </row>
    <row r="35" ht="14.25" customHeight="1">
      <c r="A35" s="14">
        <f t="shared" si="1"/>
        <v>46496</v>
      </c>
      <c r="B35" s="9" t="s">
        <v>87</v>
      </c>
      <c r="C35" s="9"/>
      <c r="D35" s="9"/>
      <c r="E35" s="9"/>
      <c r="F35" s="11" t="s">
        <v>88</v>
      </c>
      <c r="G35" s="11"/>
      <c r="H35" s="11" t="s">
        <v>95</v>
      </c>
      <c r="I35" s="11"/>
      <c r="J35" s="18" t="s">
        <v>47</v>
      </c>
      <c r="K35" s="18" t="s">
        <v>69</v>
      </c>
      <c r="L35" s="18" t="s">
        <v>96</v>
      </c>
    </row>
    <row r="36" ht="14.25" customHeight="1">
      <c r="A36" s="14">
        <f t="shared" si="1"/>
        <v>46503</v>
      </c>
      <c r="B36" s="34" t="s">
        <v>97</v>
      </c>
      <c r="C36" s="34"/>
      <c r="D36" s="34"/>
      <c r="E36" s="34"/>
      <c r="F36" s="38" t="s">
        <v>98</v>
      </c>
      <c r="G36" s="38"/>
      <c r="H36" s="28" t="s">
        <v>51</v>
      </c>
      <c r="I36" s="28"/>
      <c r="J36" s="16"/>
      <c r="K36" s="16"/>
      <c r="L36" s="16"/>
    </row>
    <row r="37" ht="14.25" customHeight="1">
      <c r="A37" s="14">
        <f t="shared" si="1"/>
        <v>46510</v>
      </c>
      <c r="B37" s="40" t="s">
        <v>55</v>
      </c>
      <c r="C37" s="50"/>
      <c r="D37" s="50"/>
      <c r="E37" s="50"/>
      <c r="F37" s="11" t="s">
        <v>99</v>
      </c>
      <c r="G37" s="11"/>
      <c r="H37" s="11"/>
      <c r="I37" s="11"/>
      <c r="J37" s="18" t="s">
        <v>31</v>
      </c>
      <c r="K37" s="18" t="s">
        <v>100</v>
      </c>
      <c r="L37" s="18" t="s">
        <v>18</v>
      </c>
    </row>
    <row r="38" ht="14.25" customHeight="1">
      <c r="A38" s="14">
        <f t="shared" si="1"/>
        <v>46517</v>
      </c>
      <c r="B38" s="11" t="s">
        <v>97</v>
      </c>
      <c r="C38" s="11"/>
      <c r="D38" s="11"/>
      <c r="E38" s="11"/>
      <c r="F38" s="38" t="s">
        <v>101</v>
      </c>
      <c r="G38" s="38"/>
      <c r="H38" s="11"/>
      <c r="I38" s="11"/>
      <c r="J38" s="16"/>
      <c r="K38" s="16"/>
      <c r="L38" s="16"/>
    </row>
    <row r="39" ht="14.25" customHeight="1">
      <c r="A39" s="14">
        <f t="shared" si="1"/>
        <v>46524</v>
      </c>
      <c r="B39" s="34" t="s">
        <v>103</v>
      </c>
      <c r="C39" s="34"/>
      <c r="D39" s="34"/>
      <c r="E39" s="34"/>
      <c r="F39" s="11"/>
      <c r="G39" s="11"/>
      <c r="H39" s="11"/>
      <c r="I39" s="11"/>
      <c r="J39" s="11"/>
      <c r="K39" s="11"/>
      <c r="L39" s="11"/>
    </row>
    <row r="40" ht="14.25" customHeight="1">
      <c r="A40" s="14">
        <f t="shared" si="1"/>
        <v>46531</v>
      </c>
      <c r="B40" s="34" t="s">
        <v>103</v>
      </c>
      <c r="C40" s="34"/>
      <c r="D40" s="34"/>
      <c r="E40" s="34"/>
      <c r="F40" s="11"/>
      <c r="G40" s="11"/>
      <c r="H40" s="11"/>
      <c r="I40" s="11"/>
      <c r="J40" s="11"/>
      <c r="K40" s="11"/>
      <c r="L40" s="11"/>
    </row>
    <row r="41" ht="14.25" customHeight="1">
      <c r="A41" s="14">
        <f t="shared" si="1"/>
        <v>46538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ht="14.25" customHeight="1">
      <c r="A42" s="14">
        <f t="shared" si="1"/>
        <v>46545</v>
      </c>
      <c r="B42" s="42" t="s">
        <v>104</v>
      </c>
      <c r="C42" s="42"/>
      <c r="D42" s="42"/>
      <c r="E42" s="42"/>
      <c r="F42" s="43"/>
      <c r="G42" s="43"/>
      <c r="H42" s="43"/>
      <c r="I42" s="43"/>
      <c r="J42" s="43"/>
      <c r="K42" s="43"/>
      <c r="L42" s="43"/>
    </row>
    <row r="43" ht="14.25" customHeight="1">
      <c r="A43" s="35"/>
      <c r="B43" s="35"/>
      <c r="C43" s="35"/>
      <c r="D43" s="35"/>
      <c r="E43" s="35"/>
      <c r="F43" s="44"/>
      <c r="G43" s="44"/>
      <c r="H43" s="44"/>
      <c r="I43" s="44"/>
    </row>
    <row r="44" ht="14.25" customHeight="1">
      <c r="A44" s="35"/>
      <c r="B44" s="35"/>
      <c r="C44" s="35"/>
      <c r="D44" s="35"/>
      <c r="E44" s="35"/>
      <c r="F44" s="44"/>
      <c r="G44" s="44"/>
      <c r="H44" s="44"/>
      <c r="I44" s="44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J1:L1"/>
    <mergeCell ref="J3:J4"/>
    <mergeCell ref="K3:K4"/>
    <mergeCell ref="L3:L4"/>
    <mergeCell ref="J5:J6"/>
    <mergeCell ref="K5:K6"/>
    <mergeCell ref="L5:L6"/>
    <mergeCell ref="K13:K14"/>
    <mergeCell ref="L13:L14"/>
    <mergeCell ref="J7:J8"/>
    <mergeCell ref="K7:K8"/>
    <mergeCell ref="L7:L8"/>
    <mergeCell ref="J11:J12"/>
    <mergeCell ref="K11:K12"/>
    <mergeCell ref="L11:L12"/>
    <mergeCell ref="J13:J14"/>
    <mergeCell ref="K23:K24"/>
    <mergeCell ref="L23:L24"/>
    <mergeCell ref="J15:J16"/>
    <mergeCell ref="K15:K16"/>
    <mergeCell ref="L15:L16"/>
    <mergeCell ref="J21:J22"/>
    <mergeCell ref="K21:K22"/>
    <mergeCell ref="L21:L22"/>
    <mergeCell ref="J23:J24"/>
    <mergeCell ref="K31:K32"/>
    <mergeCell ref="L31:L32"/>
    <mergeCell ref="J35:J36"/>
    <mergeCell ref="K35:K36"/>
    <mergeCell ref="L35:L36"/>
    <mergeCell ref="J37:J38"/>
    <mergeCell ref="K37:K38"/>
    <mergeCell ref="L37:L38"/>
    <mergeCell ref="J27:J28"/>
    <mergeCell ref="K27:K28"/>
    <mergeCell ref="L27:L28"/>
    <mergeCell ref="J29:J30"/>
    <mergeCell ref="K29:K30"/>
    <mergeCell ref="L29:L30"/>
    <mergeCell ref="J31:J32"/>
  </mergeCells>
  <hyperlinks>
    <hyperlink r:id="rId1" ref="D2"/>
    <hyperlink r:id="rId2" ref="E2"/>
    <hyperlink r:id="rId3" ref="G2"/>
    <hyperlink r:id="rId4" ref="C3"/>
    <hyperlink r:id="rId5" ref="D3"/>
    <hyperlink r:id="rId6" ref="C4"/>
    <hyperlink r:id="rId7" ref="D4"/>
    <hyperlink r:id="rId8" ref="E4"/>
    <hyperlink r:id="rId9" ref="G4"/>
    <hyperlink r:id="rId10" ref="C5"/>
    <hyperlink r:id="rId11" ref="E5"/>
  </hyperlinks>
  <printOptions/>
  <pageMargins bottom="0.75" footer="0.0" header="0.0" left="0.7" right="0.7" top="0.7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6.88"/>
    <col customWidth="1" min="3" max="3" width="27.0"/>
    <col customWidth="1" min="4" max="4" width="31.63"/>
    <col customWidth="1" min="5" max="27" width="10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4.25" customHeight="1">
      <c r="A2" s="8">
        <f>date(2026,8,31)</f>
        <v>46265</v>
      </c>
      <c r="B2" s="9" t="s">
        <v>8</v>
      </c>
      <c r="C2" s="11" t="s">
        <v>9</v>
      </c>
      <c r="D2" s="11" t="s">
        <v>10</v>
      </c>
      <c r="E2" s="12" t="s">
        <v>11</v>
      </c>
      <c r="F2" s="12" t="s">
        <v>12</v>
      </c>
      <c r="G2" s="12" t="s">
        <v>14</v>
      </c>
      <c r="H2" s="13"/>
    </row>
    <row r="3" ht="14.25" customHeight="1">
      <c r="A3" s="14">
        <f t="shared" ref="A3:A42" si="1">A2+7</f>
        <v>46272</v>
      </c>
      <c r="B3" s="9" t="s">
        <v>8</v>
      </c>
      <c r="C3" s="11" t="s">
        <v>9</v>
      </c>
      <c r="D3" s="11" t="s">
        <v>15</v>
      </c>
      <c r="E3" s="15" t="s">
        <v>16</v>
      </c>
      <c r="F3" s="15" t="s">
        <v>17</v>
      </c>
      <c r="G3" s="15" t="s">
        <v>18</v>
      </c>
    </row>
    <row r="4" ht="14.25" customHeight="1">
      <c r="A4" s="14">
        <f t="shared" si="1"/>
        <v>46279</v>
      </c>
      <c r="B4" s="9" t="s">
        <v>8</v>
      </c>
      <c r="C4" s="10" t="s">
        <v>19</v>
      </c>
      <c r="D4" s="11" t="s">
        <v>20</v>
      </c>
      <c r="E4" s="16"/>
      <c r="F4" s="16"/>
      <c r="G4" s="16"/>
    </row>
    <row r="5" ht="14.25" customHeight="1">
      <c r="A5" s="14">
        <f t="shared" si="1"/>
        <v>46286</v>
      </c>
      <c r="B5" s="9" t="s">
        <v>8</v>
      </c>
      <c r="C5" s="17" t="s">
        <v>21</v>
      </c>
      <c r="D5" s="11" t="s">
        <v>22</v>
      </c>
      <c r="E5" s="18" t="s">
        <v>23</v>
      </c>
      <c r="F5" s="18" t="s">
        <v>24</v>
      </c>
      <c r="G5" s="18" t="s">
        <v>25</v>
      </c>
    </row>
    <row r="6" ht="14.25" customHeight="1">
      <c r="A6" s="14">
        <f t="shared" si="1"/>
        <v>46293</v>
      </c>
      <c r="B6" s="11" t="s">
        <v>26</v>
      </c>
      <c r="C6" s="11" t="s">
        <v>27</v>
      </c>
      <c r="D6" s="11" t="s">
        <v>28</v>
      </c>
      <c r="E6" s="16"/>
      <c r="F6" s="16"/>
      <c r="G6" s="16"/>
    </row>
    <row r="7" ht="14.25" customHeight="1">
      <c r="A7" s="14">
        <f t="shared" si="1"/>
        <v>46300</v>
      </c>
      <c r="B7" s="11" t="s">
        <v>26</v>
      </c>
      <c r="C7" s="11" t="s">
        <v>27</v>
      </c>
      <c r="D7" s="11" t="s">
        <v>29</v>
      </c>
      <c r="E7" s="18" t="s">
        <v>30</v>
      </c>
      <c r="F7" s="18" t="s">
        <v>31</v>
      </c>
      <c r="G7" s="18" t="s">
        <v>32</v>
      </c>
    </row>
    <row r="8" ht="14.25" customHeight="1">
      <c r="A8" s="14">
        <f t="shared" si="1"/>
        <v>46307</v>
      </c>
      <c r="B8" s="20" t="s">
        <v>33</v>
      </c>
      <c r="C8" s="11" t="s">
        <v>35</v>
      </c>
      <c r="D8" s="11" t="s">
        <v>36</v>
      </c>
      <c r="E8" s="16"/>
      <c r="F8" s="16"/>
      <c r="G8" s="16"/>
    </row>
    <row r="9" ht="14.25" customHeight="1">
      <c r="A9" s="14">
        <f t="shared" si="1"/>
        <v>46314</v>
      </c>
      <c r="B9" s="21" t="s">
        <v>37</v>
      </c>
      <c r="C9" s="22"/>
      <c r="D9" s="22"/>
      <c r="E9" s="22"/>
      <c r="F9" s="23"/>
      <c r="G9" s="22"/>
    </row>
    <row r="10" ht="14.25" customHeight="1">
      <c r="A10" s="14">
        <f t="shared" si="1"/>
        <v>46321</v>
      </c>
      <c r="B10" s="24" t="s">
        <v>37</v>
      </c>
      <c r="C10" s="22"/>
      <c r="D10" s="22"/>
      <c r="E10" s="22"/>
      <c r="F10" s="22"/>
      <c r="G10" s="22"/>
    </row>
    <row r="11" ht="14.25" customHeight="1">
      <c r="A11" s="14">
        <f t="shared" si="1"/>
        <v>46328</v>
      </c>
      <c r="B11" s="20" t="s">
        <v>33</v>
      </c>
      <c r="C11" s="25" t="s">
        <v>38</v>
      </c>
      <c r="D11" s="11" t="s">
        <v>40</v>
      </c>
      <c r="E11" s="18" t="s">
        <v>16</v>
      </c>
      <c r="F11" s="15" t="s">
        <v>41</v>
      </c>
      <c r="G11" s="15" t="s">
        <v>42</v>
      </c>
    </row>
    <row r="12" ht="14.25" customHeight="1">
      <c r="A12" s="14">
        <f t="shared" si="1"/>
        <v>46335</v>
      </c>
      <c r="B12" s="9" t="s">
        <v>43</v>
      </c>
      <c r="C12" s="11" t="s">
        <v>44</v>
      </c>
      <c r="D12" s="11" t="s">
        <v>45</v>
      </c>
      <c r="E12" s="16"/>
      <c r="F12" s="16"/>
      <c r="G12" s="16"/>
    </row>
    <row r="13" ht="14.25" customHeight="1">
      <c r="A13" s="14">
        <f t="shared" si="1"/>
        <v>46342</v>
      </c>
      <c r="B13" s="9" t="s">
        <v>43</v>
      </c>
      <c r="C13" s="11" t="s">
        <v>44</v>
      </c>
      <c r="D13" s="11" t="s">
        <v>46</v>
      </c>
      <c r="E13" s="18" t="s">
        <v>47</v>
      </c>
      <c r="F13" s="26" t="s">
        <v>35</v>
      </c>
      <c r="G13" s="18" t="s">
        <v>48</v>
      </c>
    </row>
    <row r="14" ht="14.25" customHeight="1">
      <c r="A14" s="14">
        <f t="shared" si="1"/>
        <v>46349</v>
      </c>
      <c r="B14" s="9" t="s">
        <v>43</v>
      </c>
      <c r="C14" s="11" t="s">
        <v>49</v>
      </c>
      <c r="D14" s="11" t="s">
        <v>46</v>
      </c>
      <c r="E14" s="16"/>
      <c r="F14" s="16"/>
      <c r="G14" s="16"/>
    </row>
    <row r="15" ht="14.25" customHeight="1">
      <c r="A15" s="14">
        <f t="shared" si="1"/>
        <v>46356</v>
      </c>
      <c r="B15" s="27" t="s">
        <v>50</v>
      </c>
      <c r="C15" s="11" t="s">
        <v>49</v>
      </c>
      <c r="D15" s="28" t="s">
        <v>51</v>
      </c>
      <c r="E15" s="18" t="s">
        <v>52</v>
      </c>
      <c r="F15" s="15" t="s">
        <v>53</v>
      </c>
      <c r="G15" s="18" t="s">
        <v>54</v>
      </c>
    </row>
    <row r="16" ht="14.25" customHeight="1">
      <c r="A16" s="14">
        <f t="shared" si="1"/>
        <v>46363</v>
      </c>
      <c r="B16" s="30" t="s">
        <v>55</v>
      </c>
      <c r="C16" s="11" t="s">
        <v>49</v>
      </c>
      <c r="D16" s="11" t="s">
        <v>57</v>
      </c>
      <c r="E16" s="16"/>
      <c r="F16" s="16"/>
      <c r="G16" s="16"/>
    </row>
    <row r="17" ht="14.25" customHeight="1">
      <c r="A17" s="14">
        <f t="shared" si="1"/>
        <v>46370</v>
      </c>
      <c r="B17" s="31" t="s">
        <v>50</v>
      </c>
      <c r="C17" s="31" t="s">
        <v>58</v>
      </c>
      <c r="D17" s="11" t="s">
        <v>57</v>
      </c>
      <c r="E17" s="32" t="s">
        <v>59</v>
      </c>
      <c r="F17" s="18" t="s">
        <v>60</v>
      </c>
      <c r="G17" s="11" t="s">
        <v>61</v>
      </c>
    </row>
    <row r="18" ht="14.25" customHeight="1">
      <c r="A18" s="14">
        <f t="shared" si="1"/>
        <v>46377</v>
      </c>
      <c r="B18" s="24" t="s">
        <v>62</v>
      </c>
      <c r="C18" s="33"/>
      <c r="D18" s="33"/>
      <c r="E18" s="22"/>
      <c r="F18" s="22"/>
      <c r="G18" s="22"/>
    </row>
    <row r="19" ht="14.25" customHeight="1">
      <c r="A19" s="14">
        <f t="shared" si="1"/>
        <v>46384</v>
      </c>
      <c r="B19" s="24" t="s">
        <v>62</v>
      </c>
      <c r="C19" s="33"/>
      <c r="D19" s="33"/>
      <c r="E19" s="22"/>
      <c r="F19" s="22"/>
      <c r="G19" s="22"/>
    </row>
    <row r="20" ht="14.25" customHeight="1">
      <c r="A20" s="14">
        <f t="shared" si="1"/>
        <v>46391</v>
      </c>
      <c r="B20" s="34" t="s">
        <v>64</v>
      </c>
      <c r="C20" s="31" t="s">
        <v>58</v>
      </c>
      <c r="D20" s="25" t="s">
        <v>65</v>
      </c>
      <c r="E20" s="32" t="s">
        <v>59</v>
      </c>
      <c r="F20" s="18" t="s">
        <v>60</v>
      </c>
      <c r="G20" s="11" t="s">
        <v>66</v>
      </c>
    </row>
    <row r="21" ht="14.25" customHeight="1">
      <c r="A21" s="14">
        <f t="shared" si="1"/>
        <v>46398</v>
      </c>
      <c r="B21" s="34" t="s">
        <v>64</v>
      </c>
      <c r="C21" s="31" t="s">
        <v>58</v>
      </c>
      <c r="D21" s="11" t="s">
        <v>67</v>
      </c>
      <c r="E21" s="15" t="s">
        <v>23</v>
      </c>
      <c r="F21" s="15" t="s">
        <v>53</v>
      </c>
      <c r="G21" s="18" t="s">
        <v>68</v>
      </c>
    </row>
    <row r="22" ht="14.25" customHeight="1">
      <c r="A22" s="14">
        <f t="shared" si="1"/>
        <v>46405</v>
      </c>
      <c r="B22" s="31" t="s">
        <v>69</v>
      </c>
      <c r="C22" s="31" t="s">
        <v>58</v>
      </c>
      <c r="D22" s="11" t="s">
        <v>65</v>
      </c>
      <c r="E22" s="16"/>
      <c r="F22" s="16"/>
      <c r="G22" s="16"/>
    </row>
    <row r="23" ht="14.25" customHeight="1">
      <c r="A23" s="14">
        <f t="shared" si="1"/>
        <v>46412</v>
      </c>
      <c r="B23" s="31" t="s">
        <v>69</v>
      </c>
      <c r="C23" s="35" t="s">
        <v>70</v>
      </c>
      <c r="D23" s="11" t="s">
        <v>71</v>
      </c>
      <c r="E23" s="18" t="s">
        <v>30</v>
      </c>
      <c r="F23" s="15" t="s">
        <v>41</v>
      </c>
      <c r="G23" s="18" t="s">
        <v>72</v>
      </c>
    </row>
    <row r="24" ht="14.25" customHeight="1">
      <c r="A24" s="14">
        <f t="shared" si="1"/>
        <v>46419</v>
      </c>
      <c r="B24" s="31" t="s">
        <v>69</v>
      </c>
      <c r="C24" s="25" t="s">
        <v>38</v>
      </c>
      <c r="D24" s="11" t="s">
        <v>71</v>
      </c>
      <c r="E24" s="16"/>
      <c r="F24" s="16"/>
      <c r="G24" s="16"/>
    </row>
    <row r="25" ht="14.25" customHeight="1">
      <c r="A25" s="14">
        <f t="shared" si="1"/>
        <v>46426</v>
      </c>
      <c r="B25" s="24" t="s">
        <v>74</v>
      </c>
      <c r="C25" s="36"/>
      <c r="D25" s="36"/>
      <c r="E25" s="22"/>
      <c r="F25" s="22"/>
      <c r="G25" s="22"/>
    </row>
    <row r="26" ht="14.25" customHeight="1">
      <c r="A26" s="14">
        <f t="shared" si="1"/>
        <v>46433</v>
      </c>
      <c r="B26" s="24" t="s">
        <v>74</v>
      </c>
      <c r="C26" s="24"/>
      <c r="D26" s="24"/>
      <c r="E26" s="22"/>
      <c r="F26" s="22"/>
      <c r="G26" s="22"/>
    </row>
    <row r="27" ht="14.25" customHeight="1">
      <c r="A27" s="14">
        <f t="shared" si="1"/>
        <v>46440</v>
      </c>
      <c r="B27" s="9" t="s">
        <v>75</v>
      </c>
      <c r="C27" s="11" t="s">
        <v>76</v>
      </c>
      <c r="D27" s="11" t="s">
        <v>77</v>
      </c>
      <c r="E27" s="18" t="s">
        <v>78</v>
      </c>
      <c r="F27" s="37" t="s">
        <v>79</v>
      </c>
      <c r="G27" s="18" t="s">
        <v>80</v>
      </c>
    </row>
    <row r="28" ht="14.25" customHeight="1">
      <c r="A28" s="14">
        <f t="shared" si="1"/>
        <v>46447</v>
      </c>
      <c r="B28" s="34" t="s">
        <v>72</v>
      </c>
      <c r="C28" s="11" t="s">
        <v>76</v>
      </c>
      <c r="D28" s="11" t="s">
        <v>77</v>
      </c>
      <c r="E28" s="16"/>
      <c r="F28" s="16"/>
      <c r="G28" s="16"/>
    </row>
    <row r="29" ht="14.25" customHeight="1">
      <c r="A29" s="14">
        <f t="shared" si="1"/>
        <v>46454</v>
      </c>
      <c r="B29" s="34" t="s">
        <v>72</v>
      </c>
      <c r="C29" s="38" t="s">
        <v>81</v>
      </c>
      <c r="D29" s="11" t="s">
        <v>84</v>
      </c>
      <c r="E29" s="18" t="s">
        <v>16</v>
      </c>
      <c r="F29" s="39" t="s">
        <v>85</v>
      </c>
      <c r="G29" s="18" t="s">
        <v>86</v>
      </c>
    </row>
    <row r="30" ht="14.25" customHeight="1">
      <c r="A30" s="14">
        <f t="shared" si="1"/>
        <v>46461</v>
      </c>
      <c r="B30" s="34" t="s">
        <v>72</v>
      </c>
      <c r="C30" s="38" t="s">
        <v>81</v>
      </c>
      <c r="D30" s="11" t="s">
        <v>84</v>
      </c>
      <c r="E30" s="16"/>
      <c r="F30" s="16"/>
      <c r="G30" s="16"/>
    </row>
    <row r="31" ht="14.25" customHeight="1">
      <c r="A31" s="14">
        <f t="shared" si="1"/>
        <v>46468</v>
      </c>
      <c r="B31" s="9" t="s">
        <v>87</v>
      </c>
      <c r="C31" s="11" t="s">
        <v>88</v>
      </c>
      <c r="D31" s="11" t="s">
        <v>89</v>
      </c>
      <c r="E31" s="18" t="s">
        <v>52</v>
      </c>
      <c r="F31" s="37" t="s">
        <v>90</v>
      </c>
      <c r="G31" s="18" t="s">
        <v>92</v>
      </c>
    </row>
    <row r="32" ht="14.25" customHeight="1">
      <c r="A32" s="14">
        <f t="shared" si="1"/>
        <v>46475</v>
      </c>
      <c r="B32" s="9" t="s">
        <v>87</v>
      </c>
      <c r="C32" s="11" t="s">
        <v>88</v>
      </c>
      <c r="D32" s="11" t="s">
        <v>93</v>
      </c>
      <c r="E32" s="16"/>
      <c r="F32" s="16"/>
      <c r="G32" s="16"/>
    </row>
    <row r="33" ht="14.25" customHeight="1">
      <c r="A33" s="14">
        <f t="shared" si="1"/>
        <v>46482</v>
      </c>
      <c r="B33" s="24" t="s">
        <v>94</v>
      </c>
      <c r="C33" s="24"/>
      <c r="D33" s="24"/>
      <c r="E33" s="22"/>
      <c r="F33" s="22"/>
      <c r="G33" s="22"/>
    </row>
    <row r="34" ht="14.25" customHeight="1">
      <c r="A34" s="14">
        <f t="shared" si="1"/>
        <v>46489</v>
      </c>
      <c r="B34" s="24" t="s">
        <v>94</v>
      </c>
      <c r="C34" s="36"/>
      <c r="D34" s="36"/>
      <c r="E34" s="22"/>
      <c r="F34" s="22"/>
      <c r="G34" s="22"/>
    </row>
    <row r="35" ht="14.25" customHeight="1">
      <c r="A35" s="14">
        <f t="shared" si="1"/>
        <v>46496</v>
      </c>
      <c r="B35" s="9" t="s">
        <v>87</v>
      </c>
      <c r="C35" s="11" t="s">
        <v>88</v>
      </c>
      <c r="D35" s="11" t="s">
        <v>95</v>
      </c>
      <c r="E35" s="18" t="s">
        <v>47</v>
      </c>
      <c r="F35" s="18" t="s">
        <v>69</v>
      </c>
      <c r="G35" s="18" t="s">
        <v>96</v>
      </c>
    </row>
    <row r="36" ht="14.25" customHeight="1">
      <c r="A36" s="14">
        <f t="shared" si="1"/>
        <v>46503</v>
      </c>
      <c r="B36" s="34" t="s">
        <v>97</v>
      </c>
      <c r="C36" s="38" t="s">
        <v>98</v>
      </c>
      <c r="D36" s="28" t="s">
        <v>51</v>
      </c>
      <c r="E36" s="16"/>
      <c r="F36" s="16"/>
      <c r="G36" s="16"/>
    </row>
    <row r="37" ht="14.25" customHeight="1">
      <c r="A37" s="14">
        <f t="shared" si="1"/>
        <v>46510</v>
      </c>
      <c r="B37" s="40" t="s">
        <v>55</v>
      </c>
      <c r="C37" s="11" t="s">
        <v>99</v>
      </c>
      <c r="D37" s="11"/>
      <c r="E37" s="18" t="s">
        <v>31</v>
      </c>
      <c r="F37" s="18" t="s">
        <v>100</v>
      </c>
      <c r="G37" s="18" t="s">
        <v>18</v>
      </c>
    </row>
    <row r="38" ht="14.25" customHeight="1">
      <c r="A38" s="14">
        <f t="shared" si="1"/>
        <v>46517</v>
      </c>
      <c r="B38" s="11" t="s">
        <v>97</v>
      </c>
      <c r="C38" s="38" t="s">
        <v>101</v>
      </c>
      <c r="D38" s="11"/>
      <c r="E38" s="16"/>
      <c r="F38" s="16"/>
      <c r="G38" s="16"/>
    </row>
    <row r="39" ht="14.25" customHeight="1">
      <c r="A39" s="14">
        <f t="shared" si="1"/>
        <v>46524</v>
      </c>
      <c r="B39" s="34" t="s">
        <v>103</v>
      </c>
      <c r="C39" s="11"/>
      <c r="D39" s="11"/>
      <c r="E39" s="11"/>
      <c r="F39" s="11"/>
      <c r="G39" s="11"/>
    </row>
    <row r="40" ht="14.25" customHeight="1">
      <c r="A40" s="14">
        <f t="shared" si="1"/>
        <v>46531</v>
      </c>
      <c r="B40" s="34" t="s">
        <v>103</v>
      </c>
      <c r="C40" s="11"/>
      <c r="D40" s="11"/>
      <c r="E40" s="11"/>
      <c r="F40" s="11"/>
      <c r="G40" s="11"/>
    </row>
    <row r="41" ht="14.25" customHeight="1">
      <c r="A41" s="14">
        <f t="shared" si="1"/>
        <v>46538</v>
      </c>
      <c r="B41" s="41"/>
      <c r="C41" s="41"/>
      <c r="D41" s="41"/>
      <c r="E41" s="41"/>
      <c r="F41" s="41"/>
      <c r="G41" s="41"/>
    </row>
    <row r="42" ht="14.25" customHeight="1">
      <c r="A42" s="14">
        <f t="shared" si="1"/>
        <v>46545</v>
      </c>
      <c r="B42" s="42" t="s">
        <v>104</v>
      </c>
      <c r="C42" s="43"/>
      <c r="D42" s="43"/>
      <c r="E42" s="43"/>
      <c r="F42" s="43"/>
      <c r="G42" s="43"/>
    </row>
    <row r="43" ht="14.25" customHeight="1">
      <c r="A43" s="35"/>
      <c r="B43" s="35"/>
      <c r="C43" s="44"/>
      <c r="D43" s="44"/>
    </row>
    <row r="44" ht="14.25" customHeight="1">
      <c r="A44" s="35"/>
      <c r="B44" s="35"/>
      <c r="C44" s="44"/>
      <c r="D44" s="44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E1:G1"/>
    <mergeCell ref="E3:E4"/>
    <mergeCell ref="F3:F4"/>
    <mergeCell ref="G3:G4"/>
    <mergeCell ref="E5:E6"/>
    <mergeCell ref="F5:F6"/>
    <mergeCell ref="G5:G6"/>
    <mergeCell ref="F13:F14"/>
    <mergeCell ref="G13:G14"/>
    <mergeCell ref="E7:E8"/>
    <mergeCell ref="F7:F8"/>
    <mergeCell ref="G7:G8"/>
    <mergeCell ref="E11:E12"/>
    <mergeCell ref="F11:F12"/>
    <mergeCell ref="G11:G12"/>
    <mergeCell ref="E13:E14"/>
    <mergeCell ref="F23:F24"/>
    <mergeCell ref="G23:G24"/>
    <mergeCell ref="E15:E16"/>
    <mergeCell ref="F15:F16"/>
    <mergeCell ref="G15:G16"/>
    <mergeCell ref="E21:E22"/>
    <mergeCell ref="F21:F22"/>
    <mergeCell ref="G21:G22"/>
    <mergeCell ref="E23:E24"/>
    <mergeCell ref="F31:F32"/>
    <mergeCell ref="G31:G32"/>
    <mergeCell ref="E35:E36"/>
    <mergeCell ref="F35:F36"/>
    <mergeCell ref="G35:G36"/>
    <mergeCell ref="E37:E38"/>
    <mergeCell ref="F37:F38"/>
    <mergeCell ref="G37:G38"/>
    <mergeCell ref="E27:E28"/>
    <mergeCell ref="F27:F28"/>
    <mergeCell ref="G27:G28"/>
    <mergeCell ref="E29:E30"/>
    <mergeCell ref="F29:F30"/>
    <mergeCell ref="G29:G30"/>
    <mergeCell ref="E31:E32"/>
  </mergeCells>
  <printOptions/>
  <pageMargins bottom="0.75" footer="0.0" header="0.0" left="0.7" right="0.7" top="0.7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2024-06-17T11:57:03Z</dcterms:created>
  <dc:creator>François-xavier Haye</dc:creator>
</cp:coreProperties>
</file>